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-2023" sheetId="1" r:id="rId4"/>
    <sheet state="visible" name="Fevereiro-2023" sheetId="2" r:id="rId5"/>
    <sheet state="visible" name="Março-2023" sheetId="3" r:id="rId6"/>
    <sheet state="visible" name="Abril-2023" sheetId="4" r:id="rId7"/>
    <sheet state="visible" name="Maio-2023" sheetId="5" r:id="rId8"/>
    <sheet state="visible" name="Junho-2023" sheetId="6" r:id="rId9"/>
    <sheet state="visible" name="Julho-2023" sheetId="7" r:id="rId10"/>
    <sheet state="visible" name="Agosto-2023" sheetId="8" r:id="rId11"/>
    <sheet state="visible" name="Setembro-2023" sheetId="9" r:id="rId12"/>
    <sheet state="visible" name="Outubro-2023" sheetId="10" r:id="rId13"/>
    <sheet state="visible" name="Novembro-2023" sheetId="11" r:id="rId14"/>
    <sheet state="visible" name="Dezembro-2023" sheetId="12" r:id="rId15"/>
    <sheet state="visible" name="Artilharia 2023" sheetId="13" r:id="rId16"/>
    <sheet state="visible" name="Janeiro-2024" sheetId="14" r:id="rId17"/>
    <sheet state="visible" name="Fevereiro-2024" sheetId="15" r:id="rId18"/>
    <sheet state="visible" name="Março-2024" sheetId="16" r:id="rId19"/>
    <sheet state="visible" name="Abril-2024" sheetId="17" r:id="rId20"/>
    <sheet state="visible" name="Maio-2024" sheetId="18" r:id="rId21"/>
    <sheet state="visible" name="Página1" sheetId="19" r:id="rId22"/>
    <sheet state="visible" name="Junho -2024" sheetId="20" r:id="rId23"/>
    <sheet state="visible" name="Julho-2024" sheetId="21" r:id="rId24"/>
    <sheet state="visible" name="Setembro-2024" sheetId="22" r:id="rId25"/>
    <sheet state="visible" name="Agosto-2024" sheetId="23" r:id="rId26"/>
    <sheet state="visible" name="Outubro-2024" sheetId="24" r:id="rId27"/>
    <sheet state="visible" name="Novembro-2024" sheetId="25" r:id="rId28"/>
    <sheet state="visible" name="Dezembro-2024" sheetId="26" r:id="rId29"/>
    <sheet state="visible" name="Artilharia 2024" sheetId="27" r:id="rId30"/>
    <sheet state="visible" name="Janeiro - 2025" sheetId="28" r:id="rId31"/>
    <sheet state="visible" name="Fevereiro - 2025" sheetId="29" r:id="rId32"/>
    <sheet state="visible" name="Março - 2025" sheetId="30" r:id="rId33"/>
    <sheet state="visible" name="Abril - 2025" sheetId="31" r:id="rId34"/>
    <sheet state="visible" name="Maio- 2025" sheetId="32" r:id="rId35"/>
    <sheet state="visible" name="Junho- 2025" sheetId="33" r:id="rId36"/>
    <sheet state="visible" name="Julho - 2025" sheetId="34" r:id="rId37"/>
    <sheet state="visible" name="Agosto - 2025" sheetId="35" r:id="rId38"/>
    <sheet state="visible" name="Setembro - 2025" sheetId="36" r:id="rId39"/>
    <sheet state="visible" name="Outubro - 2025" sheetId="37" r:id="rId40"/>
    <sheet state="visible" name="Novembro - 2025" sheetId="38" r:id="rId41"/>
    <sheet state="visible" name="Dezembro - 2025" sheetId="39" r:id="rId42"/>
    <sheet state="visible" name="Artilharia 2025" sheetId="40" r:id="rId43"/>
    <sheet state="visible" name="Janeiro - 2026" sheetId="41" r:id="rId44"/>
    <sheet state="visible" name="Fevereiro - 2026" sheetId="42" r:id="rId45"/>
    <sheet state="visible" name="Março - 2026" sheetId="43" r:id="rId46"/>
    <sheet state="visible" name="Abril - 2026" sheetId="44" r:id="rId47"/>
    <sheet state="visible" name="Maio - 2026" sheetId="45" r:id="rId48"/>
    <sheet state="visible" name="Junho - 2026" sheetId="46" r:id="rId49"/>
    <sheet state="visible" name="Julho - 2026" sheetId="47" r:id="rId50"/>
    <sheet state="visible" name="Agosto - 2026" sheetId="48" r:id="rId51"/>
    <sheet state="visible" name="Artilharia 2026" sheetId="49" r:id="rId52"/>
  </sheets>
  <definedNames>
    <definedName hidden="1" localSheetId="0" name="_xlnm._FilterDatabase">'Janeiro-2023'!$I$2:$K$2</definedName>
    <definedName hidden="1" localSheetId="1" name="_xlnm._FilterDatabase">'Fevereiro-2023'!$I$2:$K$2</definedName>
    <definedName hidden="1" localSheetId="2" name="_xlnm._FilterDatabase">'Março-2023'!$I$2:$K$2</definedName>
    <definedName hidden="1" localSheetId="3" name="_xlnm._FilterDatabase">'Abril-2023'!$I$2:$K$2</definedName>
    <definedName hidden="1" localSheetId="4" name="_xlnm._FilterDatabase">'Maio-2023'!$I$2:$K$2</definedName>
    <definedName hidden="1" localSheetId="5" name="_xlnm._FilterDatabase">'Junho-2023'!$I$2:$K$2</definedName>
    <definedName hidden="1" localSheetId="6" name="_xlnm._FilterDatabase">'Julho-2023'!$I$2:$K$2</definedName>
    <definedName hidden="1" localSheetId="7" name="_xlnm._FilterDatabase">'Agosto-2023'!$I$2:$K$2</definedName>
    <definedName hidden="1" localSheetId="8" name="_xlnm._FilterDatabase">'Setembro-2023'!$I$2:$K$2</definedName>
    <definedName hidden="1" localSheetId="9" name="_xlnm._FilterDatabase">'Outubro-2023'!$I$2:$K$2</definedName>
    <definedName hidden="1" localSheetId="10" name="_xlnm._FilterDatabase">'Novembro-2023'!$I$2:$K$2</definedName>
    <definedName hidden="1" localSheetId="11" name="_xlnm._FilterDatabase">'Dezembro-2023'!$I$2:$K$2</definedName>
    <definedName hidden="1" localSheetId="12" name="_xlnm._FilterDatabase">'Artilharia 2023'!$A$1:$K$45</definedName>
    <definedName hidden="1" localSheetId="13" name="_xlnm._FilterDatabase">'Janeiro-2024'!$I$2:$K$2</definedName>
    <definedName hidden="1" localSheetId="14" name="_xlnm._FilterDatabase">'Fevereiro-2024'!$I$2:$K$2</definedName>
    <definedName hidden="1" localSheetId="15" name="_xlnm._FilterDatabase">'Março-2024'!$I$2:$K$2</definedName>
    <definedName hidden="1" localSheetId="16" name="_xlnm._FilterDatabase">'Abril-2024'!$I$2:$K$2</definedName>
    <definedName hidden="1" localSheetId="17" name="_xlnm._FilterDatabase">'Maio-2024'!$I$2:$K$2</definedName>
    <definedName hidden="1" localSheetId="19" name="_xlnm._FilterDatabase">'Junho -2024'!$I$2:$K$2</definedName>
    <definedName hidden="1" localSheetId="20" name="_xlnm._FilterDatabase">'Julho-2024'!$I$2:$K$2</definedName>
    <definedName hidden="1" localSheetId="21" name="_xlnm._FilterDatabase">'Setembro-2024'!$I$2:$K$2</definedName>
    <definedName hidden="1" localSheetId="22" name="_xlnm._FilterDatabase">'Agosto-2024'!$I$2:$K$2</definedName>
    <definedName hidden="1" localSheetId="23" name="_xlnm._FilterDatabase">'Outubro-2024'!$I$2:$K$2</definedName>
    <definedName hidden="1" localSheetId="24" name="_xlnm._FilterDatabase">'Novembro-2024'!$I$2:$K$2</definedName>
    <definedName hidden="1" localSheetId="25" name="_xlnm._FilterDatabase">'Dezembro-2024'!$I$2:$K$2</definedName>
    <definedName hidden="1" localSheetId="27" name="_xlnm._FilterDatabase">'Janeiro - 2025'!$I$2:$K$2</definedName>
    <definedName hidden="1" localSheetId="28" name="_xlnm._FilterDatabase">'Fevereiro - 2025'!$I$2:$K$2</definedName>
    <definedName hidden="1" localSheetId="29" name="_xlnm._FilterDatabase">'Março - 2025'!$I$2:$K$2</definedName>
    <definedName hidden="1" localSheetId="30" name="_xlnm._FilterDatabase">'Abril - 2025'!$I$2:$K$2</definedName>
    <definedName hidden="1" localSheetId="31" name="_xlnm._FilterDatabase">'Maio- 2025'!$I$2:$K$2</definedName>
    <definedName hidden="1" localSheetId="32" name="_xlnm._FilterDatabase">'Junho- 2025'!$I$2:$K$2</definedName>
    <definedName hidden="1" localSheetId="33" name="_xlnm._FilterDatabase">'Julho - 2025'!$I$2:$K$2</definedName>
    <definedName hidden="1" localSheetId="34" name="_xlnm._FilterDatabase">'Agosto - 2025'!$I$2:$K$2</definedName>
    <definedName hidden="1" localSheetId="35" name="_xlnm._FilterDatabase">'Setembro - 2025'!$I$2:$K$2</definedName>
    <definedName hidden="1" localSheetId="36" name="_xlnm._FilterDatabase">'Outubro - 2025'!$I$2:$K$2</definedName>
    <definedName hidden="1" localSheetId="37" name="_xlnm._FilterDatabase">'Novembro - 2025'!$I$2:$K$2</definedName>
    <definedName hidden="1" localSheetId="38" name="_xlnm._FilterDatabase">'Dezembro - 2025'!$I$2:$K$2</definedName>
    <definedName hidden="1" localSheetId="39" name="_xlnm._FilterDatabase">'Artilharia 2025'!$A$1:$AB$75</definedName>
    <definedName hidden="1" localSheetId="48" name="_xlnm._FilterDatabase">'Artilharia 2026'!$A$1:$AC$43</definedName>
  </definedNames>
  <calcPr/>
  <extLst>
    <ext uri="GoogleSheetsCustomDataVersion2">
      <go:sheetsCustomData xmlns:go="http://customooxmlschemas.google.com/" r:id="rId53" roundtripDataChecksum="XcRCPHo5P0dwzG+9F4Fz+1LeJN8m4dEaGwKgNQVD5j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7">
      <text>
        <t xml:space="preserve">======
ID#AAAAnq8cL9Y
Tadeu Francisco    (2023-03-31 14:16:19)
494,63 (compras) - 90(mensalidade março) -20 (Churrasco) - 60(Carne que sobrou)</t>
      </text>
    </comment>
  </commentList>
  <extLst>
    <ext uri="GoogleSheetsCustomDataVersion2">
      <go:sheetsCustomData xmlns:go="http://customooxmlschemas.google.com/" r:id="rId1" roundtripDataSignature="AMtx7mjtt/+Ckq+Ox1JVfxr4f5MdzV933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======
ID#AAAAxQpdtx4
Tadeu Francisco    (2023-05-18 14:46:19)
ROD</t>
      </text>
    </comment>
  </commentList>
  <extLst>
    <ext uri="GoogleSheetsCustomDataVersion2">
      <go:sheetsCustomData xmlns:go="http://customooxmlschemas.google.com/" r:id="rId1" roundtripDataSignature="AMtx7miuaq63Pjv7qjkrfZzQBATnVb63Tw=="/>
    </ext>
  </extLst>
</comments>
</file>

<file path=xl/sharedStrings.xml><?xml version="1.0" encoding="utf-8"?>
<sst xmlns="http://schemas.openxmlformats.org/spreadsheetml/2006/main" count="6108" uniqueCount="908">
  <si>
    <t>CAIXA Janeiro/2023</t>
  </si>
  <si>
    <t>Pendências (Caixa)</t>
  </si>
  <si>
    <t>Mensalistas Janeiro</t>
  </si>
  <si>
    <t>CAIXA Fevereiro/2023</t>
  </si>
  <si>
    <t>Nome</t>
  </si>
  <si>
    <t>Valor</t>
  </si>
  <si>
    <t>Descrição</t>
  </si>
  <si>
    <t>CAIXA Março/2023</t>
  </si>
  <si>
    <t>Mensalistas Fevereiro</t>
  </si>
  <si>
    <t>Detalhe</t>
  </si>
  <si>
    <t>Qty</t>
  </si>
  <si>
    <t>CAIXA Abril/2023</t>
  </si>
  <si>
    <t>Situação</t>
  </si>
  <si>
    <t>Saldo Inicial</t>
  </si>
  <si>
    <t>Mensalistas Março</t>
  </si>
  <si>
    <t>Mensalistas Abril</t>
  </si>
  <si>
    <t>Saldo final 2022</t>
  </si>
  <si>
    <t>Rod</t>
  </si>
  <si>
    <t>Mensalidade Dezembro</t>
  </si>
  <si>
    <t>Danilo</t>
  </si>
  <si>
    <t>Pago</t>
  </si>
  <si>
    <t>Bola</t>
  </si>
  <si>
    <t>Saldo final Janeiro 2023</t>
  </si>
  <si>
    <t>Compra em 29/12/2022</t>
  </si>
  <si>
    <t>Mensalidade Janeiro</t>
  </si>
  <si>
    <t>Saldo final Fevereiro 2023</t>
  </si>
  <si>
    <t>Fil</t>
  </si>
  <si>
    <t>Mensalidade Novembro</t>
  </si>
  <si>
    <t>Joel</t>
  </si>
  <si>
    <t>Saldo final Março 2023</t>
  </si>
  <si>
    <t>Arthur (filho maurício)</t>
  </si>
  <si>
    <t xml:space="preserve"> 29/12/2022 e 05/01/2023</t>
  </si>
  <si>
    <t>Maudonet</t>
  </si>
  <si>
    <t>Hugo</t>
  </si>
  <si>
    <t>Diaria 02/02/2023</t>
  </si>
  <si>
    <t>Azeita</t>
  </si>
  <si>
    <t>Diaria 02/03/2023 (Mensalidade Março)</t>
  </si>
  <si>
    <t>Poeys</t>
  </si>
  <si>
    <t>Diaria 29/12/2022</t>
  </si>
  <si>
    <t>Vitor</t>
  </si>
  <si>
    <t xml:space="preserve">Mensalidade Fevereiro </t>
  </si>
  <si>
    <t>Cadinho</t>
  </si>
  <si>
    <t>Thiagão</t>
  </si>
  <si>
    <t>Dico</t>
  </si>
  <si>
    <t>Diaria 02/03/2023</t>
  </si>
  <si>
    <t>Churrasco Despedida Hees</t>
  </si>
  <si>
    <t>TOTAL</t>
  </si>
  <si>
    <t>Thiago Danilo</t>
  </si>
  <si>
    <t>Diaria 09/03/2023</t>
  </si>
  <si>
    <t>Diaria 16/02/2023</t>
  </si>
  <si>
    <t xml:space="preserve">Pedrinho </t>
  </si>
  <si>
    <t>Diaria 16/02/2023 e 23/02/2023</t>
  </si>
  <si>
    <t>Diária 06/04</t>
  </si>
  <si>
    <t>Tadeu</t>
  </si>
  <si>
    <t>Diaria 30/03/2023</t>
  </si>
  <si>
    <t>Ed.Hees</t>
  </si>
  <si>
    <t>Pedrinho</t>
  </si>
  <si>
    <t>Mensalidade Abril</t>
  </si>
  <si>
    <t xml:space="preserve">Tadeu </t>
  </si>
  <si>
    <t>Luiz Sette</t>
  </si>
  <si>
    <t>Gualb</t>
  </si>
  <si>
    <t>Diaria 06/04/2023</t>
  </si>
  <si>
    <t>Diária 24/03/2023</t>
  </si>
  <si>
    <t>DM</t>
  </si>
  <si>
    <t>Tio Ed</t>
  </si>
  <si>
    <t>Gabriel</t>
  </si>
  <si>
    <t>Diária 28/04/2023</t>
  </si>
  <si>
    <t>Samurai</t>
  </si>
  <si>
    <t>Diaria 05/01/2023</t>
  </si>
  <si>
    <t>Marcelo</t>
  </si>
  <si>
    <t>Mensalidade Abril + Churrasco Despedida de Hees</t>
  </si>
  <si>
    <t>Mensalidade Março</t>
  </si>
  <si>
    <t>Somalia</t>
  </si>
  <si>
    <t>Diária 13/04/2023</t>
  </si>
  <si>
    <t>Tchuca</t>
  </si>
  <si>
    <t>Pedro</t>
  </si>
  <si>
    <t>Diaria 12/01/2023</t>
  </si>
  <si>
    <t>Pagamento campo</t>
  </si>
  <si>
    <t>Data de pagamento: 12/01/2023</t>
  </si>
  <si>
    <t>Data de pagamento: 13/01/2023</t>
  </si>
  <si>
    <t>Digão</t>
  </si>
  <si>
    <t>tadeu</t>
  </si>
  <si>
    <t>Data de pagamento: 19/01/2023</t>
  </si>
  <si>
    <t>Kamila</t>
  </si>
  <si>
    <t>Diarias 05/01/2023 e 12/01/2023</t>
  </si>
  <si>
    <t>Danilo Gualb</t>
  </si>
  <si>
    <t>Diaria 25/11/2022</t>
  </si>
  <si>
    <t>Gabriel Araujo Oliveira</t>
  </si>
  <si>
    <t>Pagamento campo + Kit</t>
  </si>
  <si>
    <t>Diaria 29/12/2022 e 05/01/2023 e 02/02/2023</t>
  </si>
  <si>
    <t>Dands</t>
  </si>
  <si>
    <t>Diaria 19/01/2023</t>
  </si>
  <si>
    <t>Churrasco 10/02/2023</t>
  </si>
  <si>
    <t>Lucas</t>
  </si>
  <si>
    <t>Diaria 10/02/2023</t>
  </si>
  <si>
    <t>Heizer</t>
  </si>
  <si>
    <t>hugo</t>
  </si>
  <si>
    <t>Ed</t>
  </si>
  <si>
    <t>Diaria 26/01/2023</t>
  </si>
  <si>
    <t>Mensalidade Fevereiro</t>
  </si>
  <si>
    <t>Hees</t>
  </si>
  <si>
    <t>Mensalidade Abril + Mensalidade Março</t>
  </si>
  <si>
    <t>hees</t>
  </si>
  <si>
    <t>Belezoca</t>
  </si>
  <si>
    <t>Data de pagamento: 10/02/2023</t>
  </si>
  <si>
    <t>Kit</t>
  </si>
  <si>
    <t>Saldo</t>
  </si>
  <si>
    <t>Churrasco de despedida - Hees:</t>
  </si>
  <si>
    <t xml:space="preserve">Churrasco </t>
  </si>
  <si>
    <t>Kit Churrasco Despedida Hees</t>
  </si>
  <si>
    <t>1-Tadeu Francisco Esteves de Castro Monte</t>
  </si>
  <si>
    <t>Ok</t>
  </si>
  <si>
    <t>Data de pagamento: 09/03/2023</t>
  </si>
  <si>
    <t>Data de pagamento: 13/04/2023</t>
  </si>
  <si>
    <t>Churrasco 02/03/2023</t>
  </si>
  <si>
    <t>2-Ricardo Dreux Cadin Martins</t>
  </si>
  <si>
    <t>Thiago</t>
  </si>
  <si>
    <t>3-Hees</t>
  </si>
  <si>
    <t>4-Tio Ed</t>
  </si>
  <si>
    <t>Diarias 06/04, 13/04, 24/03, 20/04</t>
  </si>
  <si>
    <t>5-Solange</t>
  </si>
  <si>
    <t>Pedrão</t>
  </si>
  <si>
    <t>Diaria 20/04/2023</t>
  </si>
  <si>
    <t>Churrasco 16/02/2023</t>
  </si>
  <si>
    <t>6-Danilo Figueiras Ribeiro</t>
  </si>
  <si>
    <t>Churrasco (Marcelo)</t>
  </si>
  <si>
    <t>Marcelinho</t>
  </si>
  <si>
    <t>Sobra churrasco 09/03/2023</t>
  </si>
  <si>
    <t>7-Hugo</t>
  </si>
  <si>
    <t>Diaria 23/02/2023</t>
  </si>
  <si>
    <t>Diária 16/03/2023</t>
  </si>
  <si>
    <t>Gian</t>
  </si>
  <si>
    <t>9-Pedro Gualberto Pereira Erthal da Costa</t>
  </si>
  <si>
    <t>Diaria 02/02/2023 e 10/02/2023 e Churrasco 10/02/2023</t>
  </si>
  <si>
    <t>10-Rodrigo dos Santos Navarro de Mesquita</t>
  </si>
  <si>
    <t>Marco</t>
  </si>
  <si>
    <t>11-Marcelo Knust Sant'Anna Filho</t>
  </si>
  <si>
    <t>Diária 30/03/2023</t>
  </si>
  <si>
    <t>12-Thatiana Azevedo Piechotta</t>
  </si>
  <si>
    <t>Thácio</t>
  </si>
  <si>
    <t>Tadeu e Julia</t>
  </si>
  <si>
    <t>Saldo final fevereiro 2023</t>
  </si>
  <si>
    <t>13- Felipe Figueiras Ribeiro</t>
  </si>
  <si>
    <t>Danilo e Gabi</t>
  </si>
  <si>
    <t>14- Victor Maudonet</t>
  </si>
  <si>
    <t>15- Dico</t>
  </si>
  <si>
    <t>16- Kamila</t>
  </si>
  <si>
    <t>Marcelo e Tati</t>
  </si>
  <si>
    <t>Ed, Sol, Hees, Carol, Gemao, Fernanda</t>
  </si>
  <si>
    <t xml:space="preserve">Churrasco Despedida Hees </t>
  </si>
  <si>
    <t>17- Carol</t>
  </si>
  <si>
    <t>19- Julia Colla de Paiva Coupey Quintanilha</t>
  </si>
  <si>
    <t>20- Thiago Correa Gonçalves</t>
  </si>
  <si>
    <t xml:space="preserve">Hugo </t>
  </si>
  <si>
    <t>24- Gabi</t>
  </si>
  <si>
    <t>26-Fernanda Fernandes</t>
  </si>
  <si>
    <t>27-Gabriel Sampaio</t>
  </si>
  <si>
    <t>Saldo Final Março</t>
  </si>
  <si>
    <t>CAIXA Maio/2023</t>
  </si>
  <si>
    <t>Mensalistas Maio</t>
  </si>
  <si>
    <t>Saldo final Abril 2023</t>
  </si>
  <si>
    <t>Mensalidade Maio</t>
  </si>
  <si>
    <t>Diária 04/05/2023, Diária 11/05/2023 e Diária 18/05/2023</t>
  </si>
  <si>
    <t>Diária 18/05/2023</t>
  </si>
  <si>
    <t>Thacio</t>
  </si>
  <si>
    <t>Diária 04/05/2023</t>
  </si>
  <si>
    <t>Diária 25/05/2023</t>
  </si>
  <si>
    <t>Diária 04/05/2023 (Mensalidade Maio)</t>
  </si>
  <si>
    <t>CAIXA Junho/2023</t>
  </si>
  <si>
    <t>Mensalistas Junho</t>
  </si>
  <si>
    <t>Diária 03/05/2023 (Racha de Quarta)</t>
  </si>
  <si>
    <t>Saldo final Maio 2023</t>
  </si>
  <si>
    <t>Mensalidade Maio, Mensalidade Junho e Churrasco 29/06/2023</t>
  </si>
  <si>
    <t>Bernardo Hugo</t>
  </si>
  <si>
    <t>Diária 01/06/2023</t>
  </si>
  <si>
    <t>Diária 22/06/2023 e Diária 29/06/2023</t>
  </si>
  <si>
    <t>Victor Dico</t>
  </si>
  <si>
    <t>Data de pagamento: 11/05/2023</t>
  </si>
  <si>
    <t>Diaria 11/05/2023 + Diaria 10/05/2023 (Danilo pagou Thiago)</t>
  </si>
  <si>
    <t xml:space="preserve">Danilo </t>
  </si>
  <si>
    <t>Dudu</t>
  </si>
  <si>
    <t>Diária 15/06/2023</t>
  </si>
  <si>
    <t>Churrasco 18/05</t>
  </si>
  <si>
    <t xml:space="preserve">Rod </t>
  </si>
  <si>
    <t>Bezudo</t>
  </si>
  <si>
    <t>Churrasco 18/05/2023</t>
  </si>
  <si>
    <t>Churrasco 25/05/2023 e 18/05/2023</t>
  </si>
  <si>
    <t>Davi</t>
  </si>
  <si>
    <t>Mensalidade Junho</t>
  </si>
  <si>
    <t>CAIXA Julho/2023</t>
  </si>
  <si>
    <t>Churrasco 22/06 e Churrasco 29/06/2023</t>
  </si>
  <si>
    <t>CAIXA Agosto/2023</t>
  </si>
  <si>
    <t>Mensalistas Julho</t>
  </si>
  <si>
    <t>Thiagao</t>
  </si>
  <si>
    <t>Mensalistas Agosto</t>
  </si>
  <si>
    <t>Churrasco 29/06/2023</t>
  </si>
  <si>
    <t>Churrasco 25/05/2023</t>
  </si>
  <si>
    <t>Bernardo</t>
  </si>
  <si>
    <t>Churrasco 25/05</t>
  </si>
  <si>
    <t>Saldo final Julho 2023</t>
  </si>
  <si>
    <t>Churrasco 18/05/2023 (Fil)</t>
  </si>
  <si>
    <t>Kits</t>
  </si>
  <si>
    <t>Mensalidade Agosto</t>
  </si>
  <si>
    <t>Saldo final Junho2023</t>
  </si>
  <si>
    <t>Diária 03/08/2023</t>
  </si>
  <si>
    <t>Diária 22/06/2023 e Diária 29/06/2023 e Diária 06/07/2023</t>
  </si>
  <si>
    <t>Mensalidade Junho e Mensalidade Julho e Diária 24/08/2023</t>
  </si>
  <si>
    <t>Diária 24/05/2023(Racha de Quarta)</t>
  </si>
  <si>
    <t>Bill</t>
  </si>
  <si>
    <t>Bolinha</t>
  </si>
  <si>
    <t>-</t>
  </si>
  <si>
    <t>Mensalidade Julho</t>
  </si>
  <si>
    <t>Diária 17/08/2023</t>
  </si>
  <si>
    <t>Rizzo</t>
  </si>
  <si>
    <t>Diária 27/07/2023</t>
  </si>
  <si>
    <t>Churrasco 22/06 e Churrasco 29/06/2023 e Churrasco 29/06/2023(Fil)</t>
  </si>
  <si>
    <t>Mensalidade Junho e Mensalidade Julho</t>
  </si>
  <si>
    <t>Gualberto</t>
  </si>
  <si>
    <t>Dantas</t>
  </si>
  <si>
    <t>Diária 24/08/2023</t>
  </si>
  <si>
    <t>Diárias Fred e Pedrão 03/08/2023 e Diária 24/07/2023</t>
  </si>
  <si>
    <t>Yully</t>
  </si>
  <si>
    <t>Kit 29/06/2023</t>
  </si>
  <si>
    <t>Kapiska</t>
  </si>
  <si>
    <t>Data de pagamento: 20/06/2023</t>
  </si>
  <si>
    <t>Diária 31/08/2023</t>
  </si>
  <si>
    <t>Diária 06/07/2023</t>
  </si>
  <si>
    <t>2x Diária 22/06/2023 + 2x Churrasco 22/06</t>
  </si>
  <si>
    <t>Data de pagamento: 11/08/2023</t>
  </si>
  <si>
    <t>Churrasco 22/06</t>
  </si>
  <si>
    <t xml:space="preserve">OBS: </t>
  </si>
  <si>
    <t>Diária 10/08/2023</t>
  </si>
  <si>
    <t>Abono das 7 diárias de Rod</t>
  </si>
  <si>
    <t>Diária 22/06/2023</t>
  </si>
  <si>
    <t xml:space="preserve">kit Churrasco </t>
  </si>
  <si>
    <t>Churrasco 10/08/2023</t>
  </si>
  <si>
    <t>Mensalidade Junho + Churrasco 22/06</t>
  </si>
  <si>
    <t>Rodrigo Kapiska</t>
  </si>
  <si>
    <t>Mensalidade Agosto + 10,00</t>
  </si>
  <si>
    <t>Data de pagamento: 07/07/2023</t>
  </si>
  <si>
    <t>Bola nova</t>
  </si>
  <si>
    <t>Churrasco 27/07</t>
  </si>
  <si>
    <t xml:space="preserve">Diária 04/05/2023, Diária 11/05/2023, Diária 18/05/2023, Diária 01/06/2023, Diária 15/06/2023 </t>
  </si>
  <si>
    <t>Jorge</t>
  </si>
  <si>
    <t>Diária 29/06/2023</t>
  </si>
  <si>
    <t xml:space="preserve">Churrasco 10/08/2023 e Churrasco 27/07	</t>
  </si>
  <si>
    <t>Kit Churrasco 22/06</t>
  </si>
  <si>
    <t xml:space="preserve">Tchuca </t>
  </si>
  <si>
    <t>Mensalidade Julho e Mensalidade Agosto</t>
  </si>
  <si>
    <t>Diária 13/07/2023</t>
  </si>
  <si>
    <t>Churrasco 29/06</t>
  </si>
  <si>
    <t>Vitor Dico</t>
  </si>
  <si>
    <t>Mensalidade Maio e Junho</t>
  </si>
  <si>
    <t>Victor Hugo</t>
  </si>
  <si>
    <t>Filho de Maurício</t>
  </si>
  <si>
    <t>Diária 22/06/2023 e Diária 29/06/2023 e Diária 06/07/2023, Diária 10/08/2023, Diária 17/08/2023</t>
  </si>
  <si>
    <t>Diária 20/07/2023</t>
  </si>
  <si>
    <t>GuiGUI</t>
  </si>
  <si>
    <t xml:space="preserve">Caio </t>
  </si>
  <si>
    <t xml:space="preserve">Bolinha </t>
  </si>
  <si>
    <t>Victor</t>
  </si>
  <si>
    <t>Guilherme</t>
  </si>
  <si>
    <t>Diária 29/06/2023 e Churrasco 29/06/2023 (hees) + Churrasco 29/06/2023</t>
  </si>
  <si>
    <t>Churrasco 10/08</t>
  </si>
  <si>
    <t>Churrasco 27/07/2023</t>
  </si>
  <si>
    <t xml:space="preserve">Guto </t>
  </si>
  <si>
    <t>Diária 27/07/2023 e Churrasco 27/07/2023</t>
  </si>
  <si>
    <t>Mensalidade Setembro</t>
  </si>
  <si>
    <t>Diária 10/08/2023, Diária 17/08/2023</t>
  </si>
  <si>
    <t>Guto</t>
  </si>
  <si>
    <t>Abono das 8 diárias de Rod e mensalidade de 50,00</t>
  </si>
  <si>
    <t>CAIXA -Setembro/2023</t>
  </si>
  <si>
    <t>Mensalistas Setembro</t>
  </si>
  <si>
    <t>Saldo final Agosto 2023</t>
  </si>
  <si>
    <t xml:space="preserve">Cadinho </t>
  </si>
  <si>
    <t>Yully - Diária 24/08/2023 Dantas - Diária 24/08/2023 + 10,00</t>
  </si>
  <si>
    <t>Diária 05/09/2023 , Diária 28/09/2023</t>
  </si>
  <si>
    <t>Diária 05/09/2023</t>
  </si>
  <si>
    <t>Churrasco 10/08 e 27/07</t>
  </si>
  <si>
    <t>vitor</t>
  </si>
  <si>
    <t>Diária 28/09/2023</t>
  </si>
  <si>
    <t>thiago</t>
  </si>
  <si>
    <t>Data de pagamento: 08/09/2023</t>
  </si>
  <si>
    <t xml:space="preserve">Ed </t>
  </si>
  <si>
    <t>Diária 14/09/2023</t>
  </si>
  <si>
    <t>Churrasco 14/09</t>
  </si>
  <si>
    <t>Churrasco 14/09 + Mensalidade Setembro</t>
  </si>
  <si>
    <t>Bob</t>
  </si>
  <si>
    <t>Churrasco 14/09 + Diária 14/09/2023</t>
  </si>
  <si>
    <t>Diária 21/09/2023</t>
  </si>
  <si>
    <t>Cafuba</t>
  </si>
  <si>
    <t>Dargam</t>
  </si>
  <si>
    <t>Caio</t>
  </si>
  <si>
    <t>Gnu</t>
  </si>
  <si>
    <t>Mensalidade Setembro + 10,00</t>
  </si>
  <si>
    <t>CAIXA -Outubro/2023</t>
  </si>
  <si>
    <t>Mensalistas Outubro</t>
  </si>
  <si>
    <t>Saldo final Setembro 2023</t>
  </si>
  <si>
    <t xml:space="preserve"> </t>
  </si>
  <si>
    <t>Mensalidade Outubro</t>
  </si>
  <si>
    <t>Mensalistas Novembro</t>
  </si>
  <si>
    <t>Churrasco Gualb</t>
  </si>
  <si>
    <t>Saldo final Outubro 2023</t>
  </si>
  <si>
    <t>Diária 06/10</t>
  </si>
  <si>
    <t>Daniel</t>
  </si>
  <si>
    <t>Diária 06/10 e 26/10 e 30/10</t>
  </si>
  <si>
    <t>Diária 26/10</t>
  </si>
  <si>
    <t>Diária30/10</t>
  </si>
  <si>
    <t>Mensaldidade Outubro</t>
  </si>
  <si>
    <t>Mensaldidade Outubro (-10 ja pago)</t>
  </si>
  <si>
    <t>Mensaldidade Outubro e  Mensalidade Novembro</t>
  </si>
  <si>
    <t>Cláudio</t>
  </si>
  <si>
    <t>Maicon</t>
  </si>
  <si>
    <t>Data de pagamento: 13/10/2023</t>
  </si>
  <si>
    <t>Mensalidade Novembro e Diária 26/10</t>
  </si>
  <si>
    <t>Gomes</t>
  </si>
  <si>
    <t>Churrasco Gualb + Mensalidade setembro</t>
  </si>
  <si>
    <t>Diária30/10 e 30/11</t>
  </si>
  <si>
    <t>Churrasco Gualb + Mensalidade Outubro</t>
  </si>
  <si>
    <t>Diária 09/11</t>
  </si>
  <si>
    <t>Keanu</t>
  </si>
  <si>
    <t>Diária 30/11</t>
  </si>
  <si>
    <t xml:space="preserve">Gualb </t>
  </si>
  <si>
    <t>Data de pagamento: 09/11/2023</t>
  </si>
  <si>
    <t>Mensalidade Outubro + Diária 06/10 Bruno</t>
  </si>
  <si>
    <t>Diária 19/10</t>
  </si>
  <si>
    <t>MArcelinho</t>
  </si>
  <si>
    <t>Diária 16/11</t>
  </si>
  <si>
    <t>Dargham</t>
  </si>
  <si>
    <t>Kit Churras Gualb</t>
  </si>
  <si>
    <t>dands</t>
  </si>
  <si>
    <t>Diária 19/10 e 26/10</t>
  </si>
  <si>
    <t>tadmonte</t>
  </si>
  <si>
    <t>CAIXA -Dezembro/2023</t>
  </si>
  <si>
    <t>Mensalidade de Outubro e Novembro</t>
  </si>
  <si>
    <t>Dude e Gustavo</t>
  </si>
  <si>
    <t>Churrasco 10/08 e 27/07 e 14/09 e Churrasco Gualb</t>
  </si>
  <si>
    <t>Mensalistas Dezembro</t>
  </si>
  <si>
    <t>Diaria 23/11</t>
  </si>
  <si>
    <t>Fabio</t>
  </si>
  <si>
    <t>Diária 30/10</t>
  </si>
  <si>
    <t>Rafael</t>
  </si>
  <si>
    <t>Saldo final Novembro 2023</t>
  </si>
  <si>
    <t>Bruno</t>
  </si>
  <si>
    <t>Diária 30/11 e Diária 16/11</t>
  </si>
  <si>
    <t>Churrasco 30/11</t>
  </si>
  <si>
    <t>Torreao</t>
  </si>
  <si>
    <t>Diária 07/12</t>
  </si>
  <si>
    <t>Gustavo</t>
  </si>
  <si>
    <t>Diária 30/11 e 14/12 e 21/12 e 28/12</t>
  </si>
  <si>
    <t xml:space="preserve">Thiago </t>
  </si>
  <si>
    <t>Diária 07/12 e Diária 28/12</t>
  </si>
  <si>
    <t xml:space="preserve">Gabriel </t>
  </si>
  <si>
    <t>Diaria 21/12</t>
  </si>
  <si>
    <t>Data de pagamento: 14/12/2023</t>
  </si>
  <si>
    <t>Torreão</t>
  </si>
  <si>
    <t>André</t>
  </si>
  <si>
    <t>3 Churrascos 30/11 + kit</t>
  </si>
  <si>
    <t>keanu</t>
  </si>
  <si>
    <t>torreao</t>
  </si>
  <si>
    <t>Diaria 14/12</t>
  </si>
  <si>
    <t>thacio</t>
  </si>
  <si>
    <t>Diaria 14/12 + thiago</t>
  </si>
  <si>
    <t>Churrasco Final de Ano</t>
  </si>
  <si>
    <t>Churrasco</t>
  </si>
  <si>
    <t>Natal</t>
  </si>
  <si>
    <t>Diária 28/12</t>
  </si>
  <si>
    <t>Diaria 16/12</t>
  </si>
  <si>
    <t>Gastos Churrasqueiro</t>
  </si>
  <si>
    <t>MArcelo</t>
  </si>
  <si>
    <t xml:space="preserve">Joel </t>
  </si>
  <si>
    <t>Mensalidade Dezembro + 10,00</t>
  </si>
  <si>
    <t xml:space="preserve">Removi 180 de pedrinho. </t>
  </si>
  <si>
    <t>mARCELINHO</t>
  </si>
  <si>
    <t>Diaria 21/12 E 28/12</t>
  </si>
  <si>
    <t>Mensalidade Novembro e Dezembro</t>
  </si>
  <si>
    <t>Gols</t>
  </si>
  <si>
    <t>Vitórias</t>
  </si>
  <si>
    <t>Empate</t>
  </si>
  <si>
    <t>Derrotas</t>
  </si>
  <si>
    <t>Participação</t>
  </si>
  <si>
    <t>Aproveitamento</t>
  </si>
  <si>
    <t>Gols/Jogo</t>
  </si>
  <si>
    <t>Pontuação</t>
  </si>
  <si>
    <t xml:space="preserve">Lucas </t>
  </si>
  <si>
    <t>bob</t>
  </si>
  <si>
    <t>Dargman</t>
  </si>
  <si>
    <t>Fred</t>
  </si>
  <si>
    <t>Vitor DIco</t>
  </si>
  <si>
    <t>Pedro amigo Fil</t>
  </si>
  <si>
    <t>CAIXA -Janeiro/2023</t>
  </si>
  <si>
    <t>Dudu Quarta</t>
  </si>
  <si>
    <t>CAIXA -Fevereiro/2023</t>
  </si>
  <si>
    <t>Saldo final Dezembro 2023</t>
  </si>
  <si>
    <t>Diária30/10 e 30/11 e 04/01</t>
  </si>
  <si>
    <t>Diária30/10 e 30/11 e 04/01 e 01/02</t>
  </si>
  <si>
    <t xml:space="preserve">Natal </t>
  </si>
  <si>
    <t>Diária 07/12 e 04/01</t>
  </si>
  <si>
    <t>Diária 01/02</t>
  </si>
  <si>
    <t>Diária 11/01</t>
  </si>
  <si>
    <t>Diária 04/01</t>
  </si>
  <si>
    <t>Data de pagamento: 11/01/2024</t>
  </si>
  <si>
    <t>Diária 08/02</t>
  </si>
  <si>
    <t>Mensalidade Janeiro e Fevereiro</t>
  </si>
  <si>
    <t>Data de pagamento: 08/02/2024</t>
  </si>
  <si>
    <t xml:space="preserve">fil </t>
  </si>
  <si>
    <t>Mensalidade Dezembro e Mensalidade Janeiro</t>
  </si>
  <si>
    <t>Niver Fil</t>
  </si>
  <si>
    <t>Navas</t>
  </si>
  <si>
    <t>Diária 22/02</t>
  </si>
  <si>
    <t>Mensalidade Dezembro + Mensalidade Janeiro + 20,00</t>
  </si>
  <si>
    <t xml:space="preserve">Rodrigo </t>
  </si>
  <si>
    <t>Mensalidade Janeiro + 20,00</t>
  </si>
  <si>
    <t>Diária 15/02 e 22/02</t>
  </si>
  <si>
    <t>Diária 15/02 e 22/02 + 2xChurrasco</t>
  </si>
  <si>
    <t>Diaria 18/01</t>
  </si>
  <si>
    <t>Churrasco 18/01</t>
  </si>
  <si>
    <t>Diária 07/12 e Diária 28/12 e 22/02</t>
  </si>
  <si>
    <t>Diária 28/12 e 11/01</t>
  </si>
  <si>
    <t>dude</t>
  </si>
  <si>
    <t>Mensalidade Janeiro + 10,00</t>
  </si>
  <si>
    <t>Diária 29/02</t>
  </si>
  <si>
    <t>CAIXA -Março/2024</t>
  </si>
  <si>
    <t>Saldo final Fevereiro/2024</t>
  </si>
  <si>
    <t xml:space="preserve">André </t>
  </si>
  <si>
    <t>Diária30/10 e 30/11 e 04/01 e 01/02 e 07/03  e 28/03</t>
  </si>
  <si>
    <t>Diária 11/01 e 21/03 e 28/03</t>
  </si>
  <si>
    <t>Diária 07/03</t>
  </si>
  <si>
    <t>Diária 07/03 e 21/03 e 28/03</t>
  </si>
  <si>
    <t>Diária 14/03</t>
  </si>
  <si>
    <t>thiagão</t>
  </si>
  <si>
    <t>Pedro Macedo</t>
  </si>
  <si>
    <t>Diária 28/03</t>
  </si>
  <si>
    <t>Diária 21/03</t>
  </si>
  <si>
    <t>Diária 21/03 e 14/03</t>
  </si>
  <si>
    <t xml:space="preserve">Marcelinho </t>
  </si>
  <si>
    <t>CAIXA -Abril/2024</t>
  </si>
  <si>
    <t>CAIXA -Maio/2024</t>
  </si>
  <si>
    <t>Saldo final Março/2024</t>
  </si>
  <si>
    <t>Saldo final Abril/2024</t>
  </si>
  <si>
    <t>Diária 05/09/2023 e 16/05</t>
  </si>
  <si>
    <t>Andre</t>
  </si>
  <si>
    <t>Diária30/10 e 30/11 e 04/01 e 01/02 e 07/03  e 28/03 e 16/05</t>
  </si>
  <si>
    <t>Diária 28/03 e 11/04 e 18/04</t>
  </si>
  <si>
    <t>Diária 11/04 e 02/05</t>
  </si>
  <si>
    <t>Mensalidade Março e Abril</t>
  </si>
  <si>
    <t>Diaria 25/04 e 02/05</t>
  </si>
  <si>
    <t>Kova</t>
  </si>
  <si>
    <t>Diaria 25/04</t>
  </si>
  <si>
    <t>Diária 11/04</t>
  </si>
  <si>
    <t>Diaria 28/03</t>
  </si>
  <si>
    <t>Nicolau</t>
  </si>
  <si>
    <t>Diária 02/05</t>
  </si>
  <si>
    <t>Diária 04/04</t>
  </si>
  <si>
    <t>Diária 16/05</t>
  </si>
  <si>
    <t>Pago Churrasco</t>
  </si>
  <si>
    <t>Diária 02/05 e 09/05</t>
  </si>
  <si>
    <t>Data de pagamento: 09/05/2024</t>
  </si>
  <si>
    <t>Data de pagamento: 04/04/2024</t>
  </si>
  <si>
    <t>Diária 28/03 e 11/04 e 18/04 e 09/05</t>
  </si>
  <si>
    <t>Diária 16/05 e 09/05</t>
  </si>
  <si>
    <t>Wiliam</t>
  </si>
  <si>
    <t>Dude</t>
  </si>
  <si>
    <t>Diária 18/04</t>
  </si>
  <si>
    <t>Diária 18/04 e 11/04</t>
  </si>
  <si>
    <t>Mensalidade Abril e Maio</t>
  </si>
  <si>
    <t>Diária 09/05</t>
  </si>
  <si>
    <t>Diária 28/03 e 25/04</t>
  </si>
  <si>
    <t>Diárias</t>
  </si>
  <si>
    <t>CAIXA -Junho/2024</t>
  </si>
  <si>
    <t>Diária30/10 e 30/11 e 04/01 e 01/02 e 07/03  e 28/03 e 16/05 e 06/06</t>
  </si>
  <si>
    <t>Diaria 25/04 e 02/05 - diária 20/06</t>
  </si>
  <si>
    <t>Diária 16/05 e 27/06</t>
  </si>
  <si>
    <t>Diária 05/09/2023 e 16/05 e 06/06</t>
  </si>
  <si>
    <t>NAtal</t>
  </si>
  <si>
    <t>Diária 20/06 e 27/06</t>
  </si>
  <si>
    <t>Data de pagamento: 06/06/2024</t>
  </si>
  <si>
    <t>Diária 27/06</t>
  </si>
  <si>
    <t>Kit Churrasco</t>
  </si>
  <si>
    <t>Kit mais Carvão</t>
  </si>
  <si>
    <t>Diária 06/06</t>
  </si>
  <si>
    <t>Churrasco 06/06</t>
  </si>
  <si>
    <t>Churrasco Niver Dands</t>
  </si>
  <si>
    <t>Diária 13/06</t>
  </si>
  <si>
    <t>Joao Pedro</t>
  </si>
  <si>
    <t>Bob e amigo</t>
  </si>
  <si>
    <t>Lucyam</t>
  </si>
  <si>
    <t>CAMISAS</t>
  </si>
  <si>
    <t>Camisas</t>
  </si>
  <si>
    <t xml:space="preserve">Guilherme </t>
  </si>
  <si>
    <t>Diária 20/06</t>
  </si>
  <si>
    <t>Uber Camisas</t>
  </si>
  <si>
    <t>CAIXA -Julho/2024</t>
  </si>
  <si>
    <t>Saldo final Junho/2024</t>
  </si>
  <si>
    <t>Mensalidade Junho e Julho</t>
  </si>
  <si>
    <t>Diaria 25/04 e 02/05 - diária 20/06 (30,00) + 11/07</t>
  </si>
  <si>
    <t>Diaria 04/07</t>
  </si>
  <si>
    <t>Diária 16/05 e 27/06 e 11/07</t>
  </si>
  <si>
    <t>Matheus</t>
  </si>
  <si>
    <t>Diária 20/06 e 27/06 e 04/07  e 18/07 e 25/07</t>
  </si>
  <si>
    <t>Vinicius</t>
  </si>
  <si>
    <t>Data de pagamento: 04/07/2024</t>
  </si>
  <si>
    <t>bola</t>
  </si>
  <si>
    <t>Daflon</t>
  </si>
  <si>
    <t>Diaria 25/07</t>
  </si>
  <si>
    <t>Diaria 11/07</t>
  </si>
  <si>
    <t>Diária30/10 e 30/11 e 04/01 e 01/02 e 07/03  e 28/03 e 16/05 e 06/06 e 11/07</t>
  </si>
  <si>
    <t>CAIXA -Setemrbo/2024</t>
  </si>
  <si>
    <t>Saldo final Julho/2024</t>
  </si>
  <si>
    <t>Mensalidade Abril + 01/08 + 08/08</t>
  </si>
  <si>
    <t>Diaria 25/04 e 02/05 - diária 20/06 (30,00) + 11/07 + 01/08</t>
  </si>
  <si>
    <t>Diaria 25/04 e Diaria 04/07</t>
  </si>
  <si>
    <t>Diaria 29/08</t>
  </si>
  <si>
    <t>Mensalidade Agosto e Mensalidade Setembro</t>
  </si>
  <si>
    <t>batuta</t>
  </si>
  <si>
    <t>Kits + cervejas</t>
  </si>
  <si>
    <t>Thuca</t>
  </si>
  <si>
    <t>Diaria 12/09</t>
  </si>
  <si>
    <t>CAIXA -Agosto/2024</t>
  </si>
  <si>
    <t>Diária 20/06 e 27/06 e 04/07  e 18/07 e 25/07 + Mensalidade Agosto</t>
  </si>
  <si>
    <t>Data de pagamento: 06/09/2024</t>
  </si>
  <si>
    <t>Diaria 05/09</t>
  </si>
  <si>
    <t xml:space="preserve">Jorge </t>
  </si>
  <si>
    <t>Diária 27/06 e 01/08</t>
  </si>
  <si>
    <t>Diaria 12/09 e 19/09</t>
  </si>
  <si>
    <t>Diária 19/09/2024</t>
  </si>
  <si>
    <t>Dudé</t>
  </si>
  <si>
    <t>Diária 01/08</t>
  </si>
  <si>
    <t>Iann</t>
  </si>
  <si>
    <t>Data de pagamento: 08/08/2024</t>
  </si>
  <si>
    <t>Diária 08/08</t>
  </si>
  <si>
    <t>Mensalidade Julho + Mensalidade Agosto</t>
  </si>
  <si>
    <t>Diária 15/08</t>
  </si>
  <si>
    <t>Lucyan</t>
  </si>
  <si>
    <t>Batuta</t>
  </si>
  <si>
    <t>Joao</t>
  </si>
  <si>
    <t>Diaria 22/08</t>
  </si>
  <si>
    <t>CAIXA -Outubro/2024</t>
  </si>
  <si>
    <t>Diária 15/08 e 22/08</t>
  </si>
  <si>
    <t>Setembro</t>
  </si>
  <si>
    <t>Diaria 03/10</t>
  </si>
  <si>
    <t>Ximboca</t>
  </si>
  <si>
    <t>Niver Gualb</t>
  </si>
  <si>
    <t>Data de pagamento: 03/10/2024</t>
  </si>
  <si>
    <t>JP</t>
  </si>
  <si>
    <t>Diaria 10/10</t>
  </si>
  <si>
    <t>Bob + Amigo</t>
  </si>
  <si>
    <t>Diaria 10/10 + 17/10</t>
  </si>
  <si>
    <t>Diaria 17/10</t>
  </si>
  <si>
    <t>Diária 24/10</t>
  </si>
  <si>
    <t>CAIXA -Novembro/2024</t>
  </si>
  <si>
    <t>Outubro</t>
  </si>
  <si>
    <t>Mensalidade Abril + 01/08 + 08/08 + 21/11</t>
  </si>
  <si>
    <t>Diária 31/10</t>
  </si>
  <si>
    <t>Diária 16/05 e 28/11</t>
  </si>
  <si>
    <t>Antonio</t>
  </si>
  <si>
    <t>Diária 14/11</t>
  </si>
  <si>
    <t>Mensalidade Outubro e Novembro</t>
  </si>
  <si>
    <t>Diária 21/11</t>
  </si>
  <si>
    <t>Diária 07/11</t>
  </si>
  <si>
    <t>Diária 28/11</t>
  </si>
  <si>
    <t>Data de pagamento: 07/11/2024</t>
  </si>
  <si>
    <t>Marcelo Knust</t>
  </si>
  <si>
    <t>Diaria 14/11 e a próxima</t>
  </si>
  <si>
    <t>Diária 14/11 + churrasco</t>
  </si>
  <si>
    <t>Mensalidade Outubro + Churrasco</t>
  </si>
  <si>
    <t>Mensalidade Novembro + diária 31/10 + Churrasco</t>
  </si>
  <si>
    <t>kit</t>
  </si>
  <si>
    <t>Churrasco  pré feriado</t>
  </si>
  <si>
    <t>Diária 21/11 + churrasco</t>
  </si>
  <si>
    <t xml:space="preserve">Mensalidade Outubro </t>
  </si>
  <si>
    <t>Diária 14/11 e 21/11</t>
  </si>
  <si>
    <t>CAIXA - Dezembro/2024</t>
  </si>
  <si>
    <t>Diária 05/12</t>
  </si>
  <si>
    <t>Diaria 04/07 e 12/12</t>
  </si>
  <si>
    <t>Diária 12/12 e Diária 26/12</t>
  </si>
  <si>
    <t>Walace</t>
  </si>
  <si>
    <t>Diária 26/12</t>
  </si>
  <si>
    <t>Willian</t>
  </si>
  <si>
    <t>Diária 12/12</t>
  </si>
  <si>
    <t>Diária 20/12</t>
  </si>
  <si>
    <t>Victor André</t>
  </si>
  <si>
    <t>Diária 21/12</t>
  </si>
  <si>
    <t>Campo + espaço festa final de ano</t>
  </si>
  <si>
    <t>gualb</t>
  </si>
  <si>
    <t>Sobra festa Final de ano</t>
  </si>
  <si>
    <t>CAIXA - Janeiro/2025</t>
  </si>
  <si>
    <t>Dezembro</t>
  </si>
  <si>
    <t>Diaria 02/01</t>
  </si>
  <si>
    <t>Ivan</t>
  </si>
  <si>
    <t>Diária 26/12 e 02/01</t>
  </si>
  <si>
    <t>Amigo de Bob</t>
  </si>
  <si>
    <t>Diaria 23/01 e 30/01</t>
  </si>
  <si>
    <t>Data de pagamento: 06/01/2025</t>
  </si>
  <si>
    <t>Diária 09/01</t>
  </si>
  <si>
    <t>Diária 12/12 e Diária 26/12 e 02/01 E 09/01 - 23,00</t>
  </si>
  <si>
    <t>Mensalidade Janeiro e Dezembro</t>
  </si>
  <si>
    <t>Diaria 16/01</t>
  </si>
  <si>
    <t>Diaria 23/01</t>
  </si>
  <si>
    <t>Victor Rabello</t>
  </si>
  <si>
    <t>Diaria 30/01</t>
  </si>
  <si>
    <t>Kevin</t>
  </si>
  <si>
    <t>Diaria 16/01 e mensal de feveiro</t>
  </si>
  <si>
    <t>MArcelo Knust</t>
  </si>
  <si>
    <t>Diogo</t>
  </si>
  <si>
    <t>CAIXA - Fevereiro/2025</t>
  </si>
  <si>
    <t>Gabriel Guto</t>
  </si>
  <si>
    <t>Janeiro</t>
  </si>
  <si>
    <t>Churasco</t>
  </si>
  <si>
    <t>Mensalidade Dezembro e fevereiro</t>
  </si>
  <si>
    <t>Diária 06/02</t>
  </si>
  <si>
    <t>Mensalidade Janeiro + 06/02 + 13/02</t>
  </si>
  <si>
    <t>Mensalidade fevereiro</t>
  </si>
  <si>
    <t xml:space="preserve">Heizer </t>
  </si>
  <si>
    <t>Diaria 23/01 e 30/01 e 06/02</t>
  </si>
  <si>
    <t>Diária 13/02</t>
  </si>
  <si>
    <t>Data de pagamento: 06/02/2025</t>
  </si>
  <si>
    <t>Diária 20/02</t>
  </si>
  <si>
    <t>Diária 20/02 e 27/02</t>
  </si>
  <si>
    <t>Diária 27/02</t>
  </si>
  <si>
    <t>Anderson</t>
  </si>
  <si>
    <t>ED</t>
  </si>
  <si>
    <t>Mensalidade Janeiro e fevereiro</t>
  </si>
  <si>
    <t>Marcelo K</t>
  </si>
  <si>
    <t xml:space="preserve">Rizzo </t>
  </si>
  <si>
    <t>Mensalidade de Janeiro +10</t>
  </si>
  <si>
    <t>CAIXA - Março/2025</t>
  </si>
  <si>
    <t>Fevereiro</t>
  </si>
  <si>
    <t>Mensalidade Abril + 01/08 + 08/08 + 21/11 - 50,00</t>
  </si>
  <si>
    <t>Diária 06/03</t>
  </si>
  <si>
    <t>Mensalidade Dezembro e fevereiro e Março</t>
  </si>
  <si>
    <t>Jp</t>
  </si>
  <si>
    <t>Mensalidade Janeiro + 06/02 + 13/02 + 20/03+27/03</t>
  </si>
  <si>
    <t xml:space="preserve">Kevin </t>
  </si>
  <si>
    <t>Mensalidade fevereiro e Mensalidade Março</t>
  </si>
  <si>
    <t>Diária 26/12 e Diária 06/03</t>
  </si>
  <si>
    <t>Abateu</t>
  </si>
  <si>
    <t>Diária 27/02 e 27/03</t>
  </si>
  <si>
    <t>Diária 13/03</t>
  </si>
  <si>
    <t>Data de pagamento: 13/03/2025</t>
  </si>
  <si>
    <t>Diária 27/02 e 06/03</t>
  </si>
  <si>
    <t>ed</t>
  </si>
  <si>
    <t>Diária 20/03</t>
  </si>
  <si>
    <t>CAIXA - Abril/2025</t>
  </si>
  <si>
    <t>Ruan</t>
  </si>
  <si>
    <t>Março</t>
  </si>
  <si>
    <t>Mensalidade Abril + 01/08 + 08/08 + 21/11 - 50,00 e 17/04</t>
  </si>
  <si>
    <t>Mensalidade Março e Mensalidade Abril</t>
  </si>
  <si>
    <t>Diaria 04/07 e 12/12 e 17/04</t>
  </si>
  <si>
    <t>Diária 03/04</t>
  </si>
  <si>
    <t>Mensalidade Janeiro + 06/02 + 13/02 + 20/03+27/03+03/04</t>
  </si>
  <si>
    <t>Vitor Rabello</t>
  </si>
  <si>
    <t>Diária 11/04  e Diária 24/04</t>
  </si>
  <si>
    <t>Diária 11/04 e 17/04</t>
  </si>
  <si>
    <t>Diária 27/02 e 27/03 e 03/04</t>
  </si>
  <si>
    <t>Diária 17/04</t>
  </si>
  <si>
    <t>Data de pagamento: 04/04/2025</t>
  </si>
  <si>
    <t>Gabinho</t>
  </si>
  <si>
    <t>Pitoco</t>
  </si>
  <si>
    <t>Mensalidade Abril e Diária 13/03</t>
  </si>
  <si>
    <t>Diária 24/04</t>
  </si>
  <si>
    <t>Diária 11/04 e 03/04</t>
  </si>
  <si>
    <t>kevin</t>
  </si>
  <si>
    <t>Diária 17/04 e 24/04</t>
  </si>
  <si>
    <t>Bruninho</t>
  </si>
  <si>
    <t>CAIXA - Maio/2025</t>
  </si>
  <si>
    <t>Abril</t>
  </si>
  <si>
    <t>Mensalidade Abril 2024 + 01/08 + 08/08 + 21/11 - 50,00 e 17/04</t>
  </si>
  <si>
    <t>Augusto</t>
  </si>
  <si>
    <t>Diária 11/04 e 17/04 e 29/05</t>
  </si>
  <si>
    <t>Data de pagamento: 08/05/2025</t>
  </si>
  <si>
    <t>Diária 15/05 e 22/05 e 29/05</t>
  </si>
  <si>
    <t>Diária 08/05</t>
  </si>
  <si>
    <t>Mansur</t>
  </si>
  <si>
    <t>Diária 15/05</t>
  </si>
  <si>
    <t>Diária 29/05</t>
  </si>
  <si>
    <t>Churrasco 15/05</t>
  </si>
  <si>
    <t>Victor Rabelo</t>
  </si>
  <si>
    <t>Diária 08/05 e 15/05</t>
  </si>
  <si>
    <t>Diaria 15/05</t>
  </si>
  <si>
    <t>Negueba</t>
  </si>
  <si>
    <t>CAIXA - Junho/2025</t>
  </si>
  <si>
    <t>Maio</t>
  </si>
  <si>
    <t>Mensalidade de Junho</t>
  </si>
  <si>
    <t>Diária 29/05 e Mensalidade de Junho</t>
  </si>
  <si>
    <t>Diária 20/02 e 19/06</t>
  </si>
  <si>
    <t>Diária 26/12 e 05/06</t>
  </si>
  <si>
    <t>CAIXA - Julho/2025</t>
  </si>
  <si>
    <t>Diária 05/06</t>
  </si>
  <si>
    <t>cadinho</t>
  </si>
  <si>
    <t>Data de pagamento: 05/06/2025</t>
  </si>
  <si>
    <t>Junho</t>
  </si>
  <si>
    <t>Diária quarta</t>
  </si>
  <si>
    <t>Josias</t>
  </si>
  <si>
    <t>Diária 19/06</t>
  </si>
  <si>
    <t>Mensalidade de Junho e Julho</t>
  </si>
  <si>
    <t>Diária 29/05 e 19/06</t>
  </si>
  <si>
    <t xml:space="preserve">Rafael </t>
  </si>
  <si>
    <t>Rafael das gatas</t>
  </si>
  <si>
    <t>Mensalidade Maio e Junho e Julho</t>
  </si>
  <si>
    <t>Diária 26/06</t>
  </si>
  <si>
    <t>CAIXA - Agosto/2025</t>
  </si>
  <si>
    <t>Joao Felipe</t>
  </si>
  <si>
    <t>Diária 03/07</t>
  </si>
  <si>
    <t>Cadeirudo</t>
  </si>
  <si>
    <t>Diária 05/06 e 19/06</t>
  </si>
  <si>
    <t>Diária 15/05 e 22/05 e 29/05 e mensalidade Junho</t>
  </si>
  <si>
    <t>Julhho</t>
  </si>
  <si>
    <t>Diária 11/04 e 17/04 e 29/05 e 17/07</t>
  </si>
  <si>
    <t>Caioba</t>
  </si>
  <si>
    <t>Diária 24/07</t>
  </si>
  <si>
    <t>Diária 10/07 e 24/07</t>
  </si>
  <si>
    <t>Diária 31/07</t>
  </si>
  <si>
    <t>Gulaberto</t>
  </si>
  <si>
    <t>Ricardinho</t>
  </si>
  <si>
    <t>Diária 17/07</t>
  </si>
  <si>
    <t>Data de pagamento: 07/07/2025</t>
  </si>
  <si>
    <t xml:space="preserve">Ivan </t>
  </si>
  <si>
    <t>Victor G</t>
  </si>
  <si>
    <t>Diária 17/07 e 28/08</t>
  </si>
  <si>
    <t>Mensalidade Julho e Agosto</t>
  </si>
  <si>
    <t>Diária 05/06  e 03/07</t>
  </si>
  <si>
    <t>Data de pagamento: 07/08/2025</t>
  </si>
  <si>
    <t>Victor R</t>
  </si>
  <si>
    <t>Diária 10/07</t>
  </si>
  <si>
    <t>Diaria 14/08</t>
  </si>
  <si>
    <t>Diária 28/08</t>
  </si>
  <si>
    <t>Diária 10/07 e 24/07 e 31/07</t>
  </si>
  <si>
    <t>Diaria 07/08</t>
  </si>
  <si>
    <t>Cassimiro</t>
  </si>
  <si>
    <t>Bil</t>
  </si>
  <si>
    <t>Diaria 21/08</t>
  </si>
  <si>
    <t>Diaria 28/08</t>
  </si>
  <si>
    <t>CAIXA - Setembro/2025</t>
  </si>
  <si>
    <t>Agosto</t>
  </si>
  <si>
    <t>Diária 04/09</t>
  </si>
  <si>
    <t>Diaria 14/08 e 04/09</t>
  </si>
  <si>
    <t>Diária 28/08 e 11/09</t>
  </si>
  <si>
    <t>Data de pagamento: 05/09/2025</t>
  </si>
  <si>
    <t>Diária 04/09, Diária 18/08 e Diária 25/09</t>
  </si>
  <si>
    <t>Diária 04/09 e 11/09</t>
  </si>
  <si>
    <t>Diária 11/09</t>
  </si>
  <si>
    <t>Diária 18/08</t>
  </si>
  <si>
    <t>Mensalidade Agosto e Setembro</t>
  </si>
  <si>
    <t>Diária 25/09</t>
  </si>
  <si>
    <t>Souza</t>
  </si>
  <si>
    <t>CAIXA - Outubro/2025</t>
  </si>
  <si>
    <t>Diária 02/10</t>
  </si>
  <si>
    <t>Diária 09/10</t>
  </si>
  <si>
    <t>Mensalidade Setembro e Outubro</t>
  </si>
  <si>
    <t>Data de pagamento: 01/10/2025</t>
  </si>
  <si>
    <t>Mensalidade Setembro E Outubro</t>
  </si>
  <si>
    <t>Diária 04/09 e 11/09 e 09/10</t>
  </si>
  <si>
    <t>Diária 16/10</t>
  </si>
  <si>
    <t>Diária 23/10</t>
  </si>
  <si>
    <t>Diária 23/10 e 30/10</t>
  </si>
  <si>
    <t>Diária 04/09, Diária 18/08 e Diária 25/09 e 16/10</t>
  </si>
  <si>
    <t>CAIXA - Novembro/2025</t>
  </si>
  <si>
    <t>Diária 06/11</t>
  </si>
  <si>
    <t>CAIXA - Dezembro/2025</t>
  </si>
  <si>
    <t>Diária 16/10 e 6/11</t>
  </si>
  <si>
    <t>Diária 30/10 e 06/11</t>
  </si>
  <si>
    <t>Diária 13/11</t>
  </si>
  <si>
    <t xml:space="preserve">Victor </t>
  </si>
  <si>
    <t xml:space="preserve">Dantas </t>
  </si>
  <si>
    <t>Mensalidade Setembro e Outubro e 27/11</t>
  </si>
  <si>
    <t xml:space="preserve">Yully </t>
  </si>
  <si>
    <t>Diário 13/11</t>
  </si>
  <si>
    <t>Mensalidade Dezembro + 27/11</t>
  </si>
  <si>
    <t>Diária 23/10 e 06/11</t>
  </si>
  <si>
    <t>Mensalidade Dezembro 2024</t>
  </si>
  <si>
    <t>Mensalidade Setembro e Outubro e Novembro</t>
  </si>
  <si>
    <t>Diária 23/10 e 30/10 e 13/11</t>
  </si>
  <si>
    <t>Fina de ano</t>
  </si>
  <si>
    <t>churrasco final de ano</t>
  </si>
  <si>
    <t>thiagao</t>
  </si>
  <si>
    <t>Rodrigo</t>
  </si>
  <si>
    <t>dico</t>
  </si>
  <si>
    <t>rodrigo</t>
  </si>
  <si>
    <t>Diária 27/11</t>
  </si>
  <si>
    <t>Data de pagamento: 12/12/2025</t>
  </si>
  <si>
    <t>Angelito</t>
  </si>
  <si>
    <t>Andre T</t>
  </si>
  <si>
    <t>Mensalidade Dezembrro</t>
  </si>
  <si>
    <t>Diária 18/12</t>
  </si>
  <si>
    <t>Diário 13/11 e 11/12</t>
  </si>
  <si>
    <t>Diaria 11/12</t>
  </si>
  <si>
    <t>Fina de ano + Diária 06/11 + 27/11</t>
  </si>
  <si>
    <t>Churrasqueiro</t>
  </si>
  <si>
    <t>Churrasco Ratata</t>
  </si>
  <si>
    <t>Consumo Churrasqueiro</t>
  </si>
  <si>
    <t>Espetinhos</t>
  </si>
  <si>
    <t>Geilson</t>
  </si>
  <si>
    <t>gols</t>
  </si>
  <si>
    <t>CAIXA - Janeiro/2026</t>
  </si>
  <si>
    <t>Final de ano</t>
  </si>
  <si>
    <t>Mensalidade Dezembro e Janeiro</t>
  </si>
  <si>
    <t>Data de pagamento:08/01/2025</t>
  </si>
  <si>
    <t>Diaria 08/01</t>
  </si>
  <si>
    <t>Diária 22/01 e Diária 29/01</t>
  </si>
  <si>
    <t>Diária 29/01</t>
  </si>
  <si>
    <t>Diária 15/01</t>
  </si>
  <si>
    <t>Leonardo</t>
  </si>
  <si>
    <t>André Trompiere</t>
  </si>
  <si>
    <t>Diária 22/01</t>
  </si>
  <si>
    <t>Thiago +1</t>
  </si>
  <si>
    <t>Lima</t>
  </si>
  <si>
    <t>Rafael das Gatas</t>
  </si>
  <si>
    <t xml:space="preserve">Joao Felipe </t>
  </si>
  <si>
    <t>CAIXA - Fevereiro/2026</t>
  </si>
  <si>
    <t>Diária 11/04 e 17/04 e 29/05 e 17/07 e 12/02</t>
  </si>
  <si>
    <t>Diária 05/02</t>
  </si>
  <si>
    <t>Final do ano 2</t>
  </si>
  <si>
    <t>Data de pagamento:05/02/2025</t>
  </si>
  <si>
    <t>Diária 12/02 e 26/02</t>
  </si>
  <si>
    <t>Ramon (Bill)</t>
  </si>
  <si>
    <t>Diária 12/02</t>
  </si>
  <si>
    <t>Gulab</t>
  </si>
  <si>
    <t>Diária 26/02</t>
  </si>
  <si>
    <t>Diária 16/05 e 28/11 e 26/02</t>
  </si>
  <si>
    <t>Golerio</t>
  </si>
  <si>
    <t>Final do ano 3</t>
  </si>
  <si>
    <t>Gustavo, Dudé E VG</t>
  </si>
  <si>
    <t>Diária 19/02</t>
  </si>
  <si>
    <t>Diária 12/02 e 26/02 e 05/03</t>
  </si>
  <si>
    <t>Mensalidade Fevereiro e Março</t>
  </si>
  <si>
    <t>Goleiros</t>
  </si>
  <si>
    <t>Sergio</t>
  </si>
  <si>
    <t>Diária 05/03</t>
  </si>
  <si>
    <t>Menalidade Março</t>
  </si>
  <si>
    <t>Diária 12/02 e 19/02</t>
  </si>
  <si>
    <t>Gustavo e VG</t>
  </si>
  <si>
    <t xml:space="preserve"> Diária 19/02 e 26/02</t>
  </si>
  <si>
    <t>Data de pagamento:05/03/2025</t>
  </si>
  <si>
    <t>Diária 19/03</t>
  </si>
  <si>
    <t>Diária 26/02 e 12/03</t>
  </si>
  <si>
    <t>Luiz Guilherme</t>
  </si>
  <si>
    <t>Diária 12/03</t>
  </si>
  <si>
    <t>André T</t>
  </si>
  <si>
    <t>Diária 26/03</t>
  </si>
  <si>
    <t>Diária 12/03 e 19/03</t>
  </si>
  <si>
    <t xml:space="preserve">Mensalidade Janeiro </t>
  </si>
  <si>
    <t>Mensalidade Abril 2024 + 01/08 + 08/08 + 21/11 - 50,00 e 17/04 e 23/04/2026</t>
  </si>
  <si>
    <t>Mensalidade Março e abril</t>
  </si>
  <si>
    <t>Diária 02/04</t>
  </si>
  <si>
    <t>Diária 02/04/2026</t>
  </si>
  <si>
    <t>Data de pagamento: 08/04/2025</t>
  </si>
  <si>
    <t xml:space="preserve">Diária 02/04 e 23/04 </t>
  </si>
  <si>
    <t>Diária 09/04</t>
  </si>
  <si>
    <t>Diária 02/04 e 30/04</t>
  </si>
  <si>
    <t>Diária 16/04</t>
  </si>
  <si>
    <t xml:space="preserve">Dico </t>
  </si>
  <si>
    <t>Diária  30/04</t>
  </si>
  <si>
    <t xml:space="preserve">Geilson </t>
  </si>
  <si>
    <t>João Felipe</t>
  </si>
  <si>
    <t>Diária 23/04</t>
  </si>
  <si>
    <t>Diária 02/04 e 23/04 + Thiago</t>
  </si>
  <si>
    <t>Diária 21/04</t>
  </si>
  <si>
    <t xml:space="preserve">Coala </t>
  </si>
  <si>
    <t>Diária 30/04 e Churrasco</t>
  </si>
  <si>
    <t>Nandinha</t>
  </si>
  <si>
    <t>Churrasco Hees</t>
  </si>
  <si>
    <t>Bolas</t>
  </si>
  <si>
    <t>diária 07/05</t>
  </si>
  <si>
    <t>FIL</t>
  </si>
  <si>
    <t>Cadin</t>
  </si>
  <si>
    <t>Mensalidade Maio e bola</t>
  </si>
  <si>
    <t>Diária 19/03 e 07/05</t>
  </si>
  <si>
    <t>Diária 11/06</t>
  </si>
  <si>
    <t>Campo</t>
  </si>
  <si>
    <t>Mensalidade</t>
  </si>
  <si>
    <t>Diária 28/07</t>
  </si>
  <si>
    <t>Luizinho</t>
  </si>
  <si>
    <t>Luis</t>
  </si>
  <si>
    <t>Diária 28/06</t>
  </si>
  <si>
    <t>Diária 02/04 e 23/04 e 07/05</t>
  </si>
  <si>
    <t>Diária 21/04 e 30/04 e 07/05</t>
  </si>
  <si>
    <t>Diária 25/06</t>
  </si>
  <si>
    <t>cadin</t>
  </si>
  <si>
    <t>churrasco</t>
  </si>
  <si>
    <t>Diária 14/05</t>
  </si>
  <si>
    <t>Diária 16/04 e 14/05</t>
  </si>
  <si>
    <t>Diária 18/06</t>
  </si>
  <si>
    <t>Hees e ED</t>
  </si>
  <si>
    <t>Diária 11/06 e 25/06</t>
  </si>
  <si>
    <t>diária 07/05 Crédito de 20</t>
  </si>
  <si>
    <t>Diária  21/05</t>
  </si>
  <si>
    <t>Diária  30/04 e 07/05 e 22/05</t>
  </si>
  <si>
    <t>Diária 21/05</t>
  </si>
  <si>
    <t>Diária 28/05</t>
  </si>
  <si>
    <t>Giovani</t>
  </si>
  <si>
    <t>Lucas Fil</t>
  </si>
  <si>
    <t>Diária 02/07</t>
  </si>
  <si>
    <t>Diária 02/07 e 09/07 e 23/07</t>
  </si>
  <si>
    <t xml:space="preserve">Bill </t>
  </si>
  <si>
    <t>Diária 17/07 e 23/07</t>
  </si>
  <si>
    <t>Diária 09/07</t>
  </si>
  <si>
    <t>Diária 02/07 e 09/07</t>
  </si>
  <si>
    <t>Diária 30/07</t>
  </si>
  <si>
    <t>Zalton</t>
  </si>
  <si>
    <t>Hugo A</t>
  </si>
  <si>
    <t>Diária 06/08</t>
  </si>
  <si>
    <t>Gols P</t>
  </si>
  <si>
    <t>Gols C</t>
  </si>
  <si>
    <t>Giovanni</t>
  </si>
  <si>
    <t>Thiago (Marcelinho)</t>
  </si>
  <si>
    <t>Coala</t>
  </si>
  <si>
    <t>Wilner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</si>
</sst>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[$R$ -416]#,##0.00"/>
    <numFmt numFmtId="166" formatCode="0.0"/>
  </numFmts>
  <fonts count="1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9C0006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sz val="11.0"/>
      <color rgb="FF434343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rgb="FFFF0000"/>
      <name val="Calibri"/>
      <scheme val="minor"/>
    </font>
    <font>
      <sz val="11.0"/>
      <color rgb="FFFF0000"/>
      <name val="Calibri"/>
    </font>
    <font>
      <sz val="9.0"/>
      <color rgb="FF1F1F1F"/>
      <name val="&quot;Google Sans&quot;"/>
    </font>
    <font>
      <b/>
      <sz val="11.0"/>
      <color rgb="FFFFFFFF"/>
      <name val="Calibri"/>
    </font>
    <font>
      <color rgb="FFFFFFFF"/>
      <name val="Calibri"/>
      <scheme val="minor"/>
    </font>
    <font>
      <color theme="0"/>
      <name val="Calibri"/>
      <scheme val="minor"/>
    </font>
    <font>
      <sz val="11.0"/>
      <color rgb="FF000000"/>
      <name val="Docs-Calibri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7F6000"/>
        <bgColor rgb="FF7F6000"/>
      </patternFill>
    </fill>
    <fill>
      <patternFill patternType="solid">
        <fgColor rgb="FFD9D9D9"/>
        <bgColor rgb="FFD9D9D9"/>
      </patternFill>
    </fill>
    <fill>
      <patternFill patternType="solid">
        <fgColor rgb="FFB45F06"/>
        <bgColor rgb="FFB45F0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4" fillId="4" fontId="4" numFmtId="0" xfId="0" applyBorder="1" applyFill="1" applyFont="1"/>
    <xf borderId="4" fillId="4" fontId="4" numFmtId="164" xfId="0" applyBorder="1" applyFont="1" applyNumberFormat="1"/>
    <xf borderId="5" fillId="4" fontId="4" numFmtId="0" xfId="0" applyBorder="1" applyFont="1"/>
    <xf borderId="4" fillId="0" fontId="3" numFmtId="0" xfId="0" applyBorder="1" applyFont="1"/>
    <xf borderId="4" fillId="0" fontId="3" numFmtId="164" xfId="0" applyBorder="1" applyFont="1" applyNumberFormat="1"/>
    <xf borderId="4" fillId="0" fontId="1" numFmtId="0" xfId="0" applyBorder="1" applyFont="1"/>
    <xf borderId="4" fillId="0" fontId="1" numFmtId="164" xfId="0" applyBorder="1" applyFont="1" applyNumberFormat="1"/>
    <xf borderId="4" fillId="0" fontId="3" numFmtId="165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1" numFmtId="165" xfId="0" applyBorder="1" applyFont="1" applyNumberFormat="1"/>
    <xf borderId="4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4" fillId="0" fontId="1" numFmtId="165" xfId="0" applyAlignment="1" applyBorder="1" applyFont="1" applyNumberFormat="1">
      <alignment readingOrder="0"/>
    </xf>
    <xf borderId="4" fillId="0" fontId="5" numFmtId="165" xfId="0" applyAlignment="1" applyBorder="1" applyFont="1" applyNumberFormat="1">
      <alignment readingOrder="0"/>
    </xf>
    <xf borderId="4" fillId="0" fontId="6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7" numFmtId="165" xfId="0" applyAlignment="1" applyBorder="1" applyFont="1" applyNumberFormat="1">
      <alignment readingOrder="0"/>
    </xf>
    <xf borderId="0" fillId="0" fontId="5" numFmtId="165" xfId="0" applyAlignment="1" applyFont="1" applyNumberFormat="1">
      <alignment readingOrder="0"/>
    </xf>
    <xf borderId="4" fillId="0" fontId="1" numFmtId="0" xfId="0" applyAlignment="1" applyBorder="1" applyFont="1">
      <alignment readingOrder="0" vertical="bottom"/>
    </xf>
    <xf borderId="4" fillId="3" fontId="3" numFmtId="0" xfId="0" applyBorder="1" applyFont="1"/>
    <xf borderId="3" fillId="0" fontId="1" numFmtId="165" xfId="0" applyAlignment="1" applyBorder="1" applyFont="1" applyNumberFormat="1">
      <alignment readingOrder="0" vertical="bottom"/>
    </xf>
    <xf borderId="4" fillId="3" fontId="3" numFmtId="164" xfId="0" applyBorder="1" applyFont="1" applyNumberFormat="1"/>
    <xf borderId="4" fillId="0" fontId="8" numFmtId="0" xfId="0" applyAlignment="1" applyBorder="1" applyFont="1">
      <alignment readingOrder="0"/>
    </xf>
    <xf borderId="6" fillId="0" fontId="1" numFmtId="0" xfId="0" applyAlignment="1" applyBorder="1" applyFont="1">
      <alignment readingOrder="0" vertical="bottom"/>
    </xf>
    <xf borderId="4" fillId="5" fontId="6" numFmtId="0" xfId="0" applyAlignment="1" applyBorder="1" applyFill="1" applyFont="1">
      <alignment readingOrder="0"/>
    </xf>
    <xf borderId="7" fillId="0" fontId="1" numFmtId="165" xfId="0" applyAlignment="1" applyBorder="1" applyFont="1" applyNumberFormat="1">
      <alignment readingOrder="0" vertical="bottom"/>
    </xf>
    <xf borderId="4" fillId="5" fontId="6" numFmtId="164" xfId="0" applyAlignment="1" applyBorder="1" applyFont="1" applyNumberFormat="1">
      <alignment readingOrder="0"/>
    </xf>
    <xf borderId="4" fillId="3" fontId="3" numFmtId="0" xfId="0" applyAlignment="1" applyBorder="1" applyFont="1">
      <alignment readingOrder="0"/>
    </xf>
    <xf borderId="4" fillId="3" fontId="3" numFmtId="164" xfId="0" applyAlignment="1" applyBorder="1" applyFont="1" applyNumberFormat="1">
      <alignment readingOrder="0"/>
    </xf>
    <xf borderId="0" fillId="0" fontId="9" numFmtId="0" xfId="0" applyFont="1"/>
    <xf borderId="1" fillId="0" fontId="1" numFmtId="0" xfId="0" applyAlignment="1" applyBorder="1" applyFont="1">
      <alignment readingOrder="0"/>
    </xf>
    <xf borderId="4" fillId="3" fontId="3" numFmtId="165" xfId="0" applyAlignment="1" applyBorder="1" applyFont="1" applyNumberFormat="1">
      <alignment readingOrder="0"/>
    </xf>
    <xf borderId="8" fillId="0" fontId="5" numFmtId="0" xfId="0" applyAlignment="1" applyBorder="1" applyFont="1">
      <alignment readingOrder="0"/>
    </xf>
    <xf borderId="4" fillId="6" fontId="10" numFmtId="0" xfId="0" applyBorder="1" applyFill="1" applyFont="1"/>
    <xf borderId="1" fillId="7" fontId="5" numFmtId="0" xfId="0" applyAlignment="1" applyBorder="1" applyFill="1" applyFont="1">
      <alignment horizontal="center" readingOrder="0"/>
    </xf>
    <xf borderId="4" fillId="6" fontId="10" numFmtId="164" xfId="0" applyBorder="1" applyFont="1" applyNumberFormat="1"/>
    <xf borderId="4" fillId="6" fontId="10" numFmtId="0" xfId="0" applyAlignment="1" applyBorder="1" applyFont="1">
      <alignment readingOrder="0"/>
    </xf>
    <xf borderId="0" fillId="0" fontId="1" numFmtId="164" xfId="0" applyFont="1" applyNumberFormat="1"/>
    <xf borderId="4" fillId="8" fontId="6" numFmtId="0" xfId="0" applyAlignment="1" applyBorder="1" applyFill="1" applyFont="1">
      <alignment readingOrder="0"/>
    </xf>
    <xf borderId="4" fillId="8" fontId="6" numFmtId="165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4" fillId="0" fontId="5" numFmtId="0" xfId="0" applyBorder="1" applyFont="1"/>
    <xf borderId="4" fillId="6" fontId="1" numFmtId="0" xfId="0" applyBorder="1" applyFont="1"/>
    <xf borderId="4" fillId="6" fontId="1" numFmtId="164" xfId="0" applyBorder="1" applyFont="1" applyNumberFormat="1"/>
    <xf borderId="4" fillId="6" fontId="1" numFmtId="0" xfId="0" applyAlignment="1" applyBorder="1" applyFont="1">
      <alignment readingOrder="0"/>
    </xf>
    <xf borderId="1" fillId="9" fontId="5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readingOrder="0"/>
    </xf>
    <xf borderId="4" fillId="0" fontId="5" numFmtId="165" xfId="0" applyBorder="1" applyFont="1" applyNumberFormat="1"/>
    <xf borderId="10" fillId="0" fontId="1" numFmtId="0" xfId="0" applyAlignment="1" applyBorder="1" applyFont="1">
      <alignment readingOrder="0"/>
    </xf>
    <xf borderId="0" fillId="8" fontId="6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8" fontId="13" numFmtId="0" xfId="0" applyAlignment="1" applyFont="1">
      <alignment readingOrder="0"/>
    </xf>
    <xf borderId="4" fillId="0" fontId="3" numFmtId="164" xfId="0" applyAlignment="1" applyBorder="1" applyFont="1" applyNumberFormat="1">
      <alignment readingOrder="0"/>
    </xf>
    <xf borderId="4" fillId="0" fontId="6" numFmtId="165" xfId="0" applyAlignment="1" applyBorder="1" applyFont="1" applyNumberFormat="1">
      <alignment readingOrder="0"/>
    </xf>
    <xf borderId="1" fillId="10" fontId="5" numFmtId="0" xfId="0" applyAlignment="1" applyBorder="1" applyFill="1" applyFont="1">
      <alignment readingOrder="0"/>
    </xf>
    <xf borderId="0" fillId="0" fontId="5" numFmtId="0" xfId="0" applyFont="1"/>
    <xf borderId="1" fillId="4" fontId="14" numFmtId="0" xfId="0" applyAlignment="1" applyBorder="1" applyFont="1">
      <alignment readingOrder="0"/>
    </xf>
    <xf borderId="11" fillId="0" fontId="5" numFmtId="0" xfId="0" applyBorder="1" applyFont="1"/>
    <xf borderId="3" fillId="4" fontId="4" numFmtId="0" xfId="0" applyBorder="1" applyFont="1"/>
    <xf borderId="0" fillId="11" fontId="15" numFmtId="10" xfId="0" applyAlignment="1" applyFill="1" applyFont="1" applyNumberFormat="1">
      <alignment readingOrder="0"/>
    </xf>
    <xf borderId="0" fillId="11" fontId="16" numFmtId="0" xfId="0" applyAlignment="1" applyFont="1">
      <alignment readingOrder="0"/>
    </xf>
    <xf borderId="11" fillId="8" fontId="4" numFmtId="0" xfId="0" applyBorder="1" applyFont="1"/>
    <xf borderId="4" fillId="12" fontId="1" numFmtId="0" xfId="0" applyBorder="1" applyFill="1" applyFont="1"/>
    <xf borderId="3" fillId="0" fontId="1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166" xfId="0" applyBorder="1" applyFont="1" applyNumberFormat="1"/>
    <xf borderId="11" fillId="0" fontId="1" numFmtId="0" xfId="0" applyBorder="1" applyFont="1"/>
    <xf borderId="3" fillId="0" fontId="1" numFmtId="0" xfId="0" applyBorder="1" applyFont="1"/>
    <xf borderId="0" fillId="0" fontId="5" numFmtId="10" xfId="0" applyFont="1" applyNumberFormat="1"/>
    <xf borderId="4" fillId="13" fontId="1" numFmtId="0" xfId="0" applyBorder="1" applyFill="1" applyFont="1"/>
    <xf borderId="4" fillId="14" fontId="1" numFmtId="0" xfId="0" applyBorder="1" applyFill="1" applyFont="1"/>
    <xf borderId="1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1" fillId="8" fontId="5" numFmtId="166" xfId="0" applyBorder="1" applyFont="1" applyNumberFormat="1"/>
    <xf borderId="1" fillId="0" fontId="1" numFmtId="0" xfId="0" applyBorder="1" applyFont="1"/>
    <xf borderId="4" fillId="0" fontId="5" numFmtId="10" xfId="0" applyBorder="1" applyFont="1" applyNumberFormat="1"/>
    <xf borderId="4" fillId="0" fontId="5" numFmtId="166" xfId="0" applyBorder="1" applyFont="1" applyNumberFormat="1"/>
    <xf borderId="9" fillId="0" fontId="5" numFmtId="0" xfId="0" applyAlignment="1" applyBorder="1" applyFont="1">
      <alignment readingOrder="0"/>
    </xf>
    <xf borderId="9" fillId="0" fontId="1" numFmtId="0" xfId="0" applyBorder="1" applyFont="1"/>
    <xf borderId="9" fillId="0" fontId="5" numFmtId="10" xfId="0" applyBorder="1" applyFont="1" applyNumberFormat="1"/>
    <xf borderId="9" fillId="8" fontId="5" numFmtId="166" xfId="0" applyBorder="1" applyFont="1" applyNumberFormat="1"/>
    <xf borderId="4" fillId="8" fontId="5" numFmtId="166" xfId="0" applyBorder="1" applyFont="1" applyNumberFormat="1"/>
    <xf borderId="4" fillId="5" fontId="5" numFmtId="166" xfId="0" applyBorder="1" applyFont="1" applyNumberFormat="1"/>
    <xf borderId="4" fillId="8" fontId="5" numFmtId="166" xfId="0" applyAlignment="1" applyBorder="1" applyFont="1" applyNumberFormat="1">
      <alignment readingOrder="0"/>
    </xf>
    <xf borderId="0" fillId="0" fontId="1" numFmtId="0" xfId="0" applyFont="1"/>
    <xf borderId="4" fillId="6" fontId="1" numFmtId="164" xfId="0" applyAlignment="1" applyBorder="1" applyFont="1" applyNumberFormat="1">
      <alignment readingOrder="0"/>
    </xf>
    <xf borderId="0" fillId="8" fontId="17" numFmtId="0" xfId="0" applyAlignment="1" applyFont="1">
      <alignment horizontal="left" readingOrder="0"/>
    </xf>
    <xf borderId="4" fillId="8" fontId="17" numFmtId="0" xfId="0" applyAlignment="1" applyBorder="1" applyFont="1">
      <alignment horizontal="left" readingOrder="0"/>
    </xf>
    <xf borderId="4" fillId="12" fontId="5" numFmtId="0" xfId="0" applyAlignment="1" applyBorder="1" applyFont="1">
      <alignment readingOrder="0"/>
    </xf>
    <xf borderId="4" fillId="15" fontId="1" numFmtId="0" xfId="0" applyBorder="1" applyFill="1" applyFont="1"/>
    <xf borderId="4" fillId="16" fontId="1" numFmtId="0" xfId="0" applyBorder="1" applyFill="1" applyFont="1"/>
    <xf borderId="4" fillId="8" fontId="1" numFmtId="0" xfId="0" applyBorder="1" applyFont="1"/>
    <xf borderId="4" fillId="8" fontId="5" numFmtId="0" xfId="0" applyAlignment="1" applyBorder="1" applyFont="1">
      <alignment readingOrder="0"/>
    </xf>
    <xf borderId="4" fillId="0" fontId="1" numFmtId="165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4" fillId="4" fontId="14" numFmtId="0" xfId="0" applyAlignment="1" applyBorder="1" applyFont="1">
      <alignment readingOrder="0"/>
    </xf>
    <xf borderId="4" fillId="8" fontId="1" numFmtId="0" xfId="0" applyAlignment="1" applyBorder="1" applyFont="1">
      <alignment readingOrder="0"/>
    </xf>
    <xf borderId="4" fillId="8" fontId="8" numFmtId="0" xfId="0" applyAlignment="1" applyBorder="1" applyFont="1">
      <alignment readingOrder="0"/>
    </xf>
    <xf borderId="0" fillId="0" fontId="5" numFmtId="166" xfId="0" applyFont="1" applyNumberFormat="1"/>
    <xf borderId="4" fillId="0" fontId="1" numFmtId="165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customschemas.google.com/relationships/workbookmetadata" Target="metadata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76.57"/>
    <col customWidth="1" min="4" max="4" width="5.0"/>
    <col customWidth="1" min="5" max="5" width="24.29"/>
    <col customWidth="1" min="6" max="6" width="11.86"/>
    <col customWidth="1" min="7" max="7" width="40.86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0</v>
      </c>
      <c r="B1" s="2"/>
      <c r="C1" s="3"/>
      <c r="E1" s="4" t="s">
        <v>1</v>
      </c>
      <c r="F1" s="2"/>
      <c r="G1" s="3"/>
      <c r="I1" s="5" t="s">
        <v>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0">
        <v>-220.0</v>
      </c>
      <c r="C3" s="9" t="s">
        <v>16</v>
      </c>
      <c r="E3" s="11" t="s">
        <v>17</v>
      </c>
      <c r="F3" s="12">
        <v>80.0</v>
      </c>
      <c r="G3" s="11" t="s">
        <v>18</v>
      </c>
      <c r="I3" s="11">
        <v>1.0</v>
      </c>
      <c r="J3" s="11" t="s">
        <v>19</v>
      </c>
      <c r="K3" s="11" t="s">
        <v>20</v>
      </c>
    </row>
    <row r="4" ht="14.25" customHeight="1">
      <c r="A4" s="11" t="s">
        <v>21</v>
      </c>
      <c r="B4" s="12">
        <v>-140.0</v>
      </c>
      <c r="C4" s="11" t="s">
        <v>23</v>
      </c>
      <c r="E4" s="11" t="s">
        <v>17</v>
      </c>
      <c r="F4" s="12">
        <v>90.0</v>
      </c>
      <c r="G4" s="11" t="s">
        <v>24</v>
      </c>
      <c r="I4" s="11">
        <v>2.0</v>
      </c>
      <c r="J4" s="11" t="s">
        <v>26</v>
      </c>
      <c r="K4" s="11" t="s">
        <v>20</v>
      </c>
    </row>
    <row r="5" ht="14.25" customHeight="1">
      <c r="A5" s="11" t="s">
        <v>17</v>
      </c>
      <c r="B5" s="12">
        <v>80.0</v>
      </c>
      <c r="C5" s="11" t="s">
        <v>27</v>
      </c>
      <c r="E5" s="11" t="s">
        <v>28</v>
      </c>
      <c r="F5" s="17">
        <v>40.0</v>
      </c>
      <c r="G5" s="16" t="s">
        <v>31</v>
      </c>
      <c r="I5" s="11">
        <v>4.0</v>
      </c>
      <c r="J5" s="11" t="s">
        <v>33</v>
      </c>
      <c r="K5" s="11" t="s">
        <v>20</v>
      </c>
    </row>
    <row r="6" ht="14.25" customHeight="1">
      <c r="A6" s="11" t="s">
        <v>35</v>
      </c>
      <c r="B6" s="12">
        <v>80.0</v>
      </c>
      <c r="C6" s="11" t="s">
        <v>18</v>
      </c>
      <c r="E6" s="11" t="s">
        <v>37</v>
      </c>
      <c r="F6" s="12">
        <v>20.0</v>
      </c>
      <c r="G6" s="11" t="s">
        <v>38</v>
      </c>
      <c r="I6" s="11">
        <v>6.0</v>
      </c>
      <c r="J6" s="11" t="s">
        <v>39</v>
      </c>
      <c r="K6" s="11" t="s">
        <v>20</v>
      </c>
    </row>
    <row r="7" ht="14.25" customHeight="1">
      <c r="A7" s="11" t="s">
        <v>33</v>
      </c>
      <c r="B7" s="12">
        <v>90.0</v>
      </c>
      <c r="C7" s="11" t="s">
        <v>24</v>
      </c>
      <c r="I7" s="11">
        <v>7.0</v>
      </c>
      <c r="J7" s="11" t="s">
        <v>41</v>
      </c>
      <c r="K7" s="11" t="s">
        <v>20</v>
      </c>
    </row>
    <row r="8" ht="14.25" customHeight="1">
      <c r="A8" s="11" t="s">
        <v>39</v>
      </c>
      <c r="B8" s="12">
        <v>90.0</v>
      </c>
      <c r="C8" s="11" t="s">
        <v>24</v>
      </c>
      <c r="E8" s="11" t="s">
        <v>46</v>
      </c>
      <c r="F8" s="12">
        <f>SUM(F3:F6)</f>
        <v>230</v>
      </c>
      <c r="I8" s="11">
        <v>13.0</v>
      </c>
      <c r="J8" s="11" t="s">
        <v>53</v>
      </c>
      <c r="K8" s="11" t="s">
        <v>20</v>
      </c>
    </row>
    <row r="9" ht="14.25" customHeight="1">
      <c r="A9" s="11" t="s">
        <v>19</v>
      </c>
      <c r="B9" s="12">
        <v>90.0</v>
      </c>
      <c r="C9" s="11" t="s">
        <v>24</v>
      </c>
      <c r="I9" s="11">
        <v>5.0</v>
      </c>
      <c r="J9" s="11" t="s">
        <v>55</v>
      </c>
      <c r="K9" s="11" t="s">
        <v>20</v>
      </c>
    </row>
    <row r="10" ht="14.25" customHeight="1">
      <c r="A10" s="11" t="s">
        <v>26</v>
      </c>
      <c r="B10" s="12">
        <v>90.0</v>
      </c>
      <c r="C10" s="11" t="s">
        <v>24</v>
      </c>
      <c r="I10" s="11">
        <v>3.0</v>
      </c>
      <c r="J10" s="11" t="s">
        <v>60</v>
      </c>
      <c r="K10" s="11" t="s">
        <v>20</v>
      </c>
    </row>
    <row r="11" ht="14.25" customHeight="1">
      <c r="A11" s="11" t="s">
        <v>41</v>
      </c>
      <c r="B11" s="12">
        <v>80.0</v>
      </c>
      <c r="C11" s="11" t="s">
        <v>18</v>
      </c>
      <c r="I11" s="11">
        <v>8.0</v>
      </c>
      <c r="J11" s="11" t="s">
        <v>43</v>
      </c>
      <c r="K11" s="11" t="s">
        <v>20</v>
      </c>
    </row>
    <row r="12" ht="14.25" customHeight="1">
      <c r="A12" s="11" t="s">
        <v>41</v>
      </c>
      <c r="B12" s="12">
        <v>90.0</v>
      </c>
      <c r="C12" s="11" t="s">
        <v>24</v>
      </c>
      <c r="I12" s="11">
        <v>9.0</v>
      </c>
      <c r="J12" s="11" t="s">
        <v>17</v>
      </c>
      <c r="K12" s="11"/>
    </row>
    <row r="13" ht="14.25" customHeight="1">
      <c r="A13" s="11" t="s">
        <v>67</v>
      </c>
      <c r="B13" s="12">
        <v>-30.0</v>
      </c>
      <c r="C13" s="11" t="s">
        <v>68</v>
      </c>
      <c r="I13" s="11">
        <v>10.0</v>
      </c>
      <c r="J13" s="11" t="s">
        <v>69</v>
      </c>
      <c r="K13" s="11" t="s">
        <v>20</v>
      </c>
    </row>
    <row r="14" ht="14.25" customHeight="1">
      <c r="A14" s="11" t="s">
        <v>72</v>
      </c>
      <c r="B14" s="12">
        <v>-30.0</v>
      </c>
      <c r="C14" s="11" t="s">
        <v>68</v>
      </c>
      <c r="I14" s="11">
        <v>11.0</v>
      </c>
      <c r="J14" s="11" t="s">
        <v>35</v>
      </c>
      <c r="K14" s="11" t="s">
        <v>20</v>
      </c>
    </row>
    <row r="15" ht="14.25" customHeight="1">
      <c r="A15" s="11" t="s">
        <v>53</v>
      </c>
      <c r="B15" s="12">
        <v>90.0</v>
      </c>
      <c r="C15" s="11" t="s">
        <v>24</v>
      </c>
      <c r="I15" s="11">
        <v>12.0</v>
      </c>
      <c r="J15" s="11" t="s">
        <v>42</v>
      </c>
      <c r="K15" s="11" t="s">
        <v>20</v>
      </c>
    </row>
    <row r="16" ht="14.25" customHeight="1">
      <c r="A16" s="11" t="s">
        <v>64</v>
      </c>
      <c r="B16" s="12">
        <v>90.0</v>
      </c>
      <c r="C16" s="11" t="s">
        <v>24</v>
      </c>
      <c r="I16" s="11">
        <v>14.0</v>
      </c>
      <c r="J16" s="11" t="s">
        <v>74</v>
      </c>
      <c r="K16" s="16" t="s">
        <v>20</v>
      </c>
    </row>
    <row r="17" ht="14.25" customHeight="1">
      <c r="A17" s="11" t="s">
        <v>60</v>
      </c>
      <c r="B17" s="12">
        <v>90.0</v>
      </c>
      <c r="C17" s="11" t="s">
        <v>24</v>
      </c>
    </row>
    <row r="18" ht="14.25" customHeight="1">
      <c r="A18" s="11" t="s">
        <v>75</v>
      </c>
      <c r="B18" s="12">
        <v>20.0</v>
      </c>
      <c r="C18" s="11" t="s">
        <v>76</v>
      </c>
    </row>
    <row r="19" ht="14.25" customHeight="1">
      <c r="A19" s="11" t="s">
        <v>43</v>
      </c>
      <c r="B19" s="12">
        <v>90.0</v>
      </c>
      <c r="C19" s="16" t="s">
        <v>24</v>
      </c>
    </row>
    <row r="20" ht="14.25" customHeight="1">
      <c r="A20" s="11" t="s">
        <v>69</v>
      </c>
      <c r="B20" s="12">
        <v>90.0</v>
      </c>
      <c r="C20" s="11" t="s">
        <v>24</v>
      </c>
    </row>
    <row r="21" ht="14.25" customHeight="1">
      <c r="A21" s="11" t="s">
        <v>42</v>
      </c>
      <c r="B21" s="12">
        <v>90.0</v>
      </c>
      <c r="C21" s="11" t="s">
        <v>24</v>
      </c>
    </row>
    <row r="22" ht="14.25" customHeight="1">
      <c r="A22" s="26" t="s">
        <v>77</v>
      </c>
      <c r="B22" s="28">
        <v>-700.0</v>
      </c>
      <c r="C22" s="26" t="s">
        <v>78</v>
      </c>
    </row>
    <row r="23" ht="14.25" customHeight="1">
      <c r="A23" s="26" t="s">
        <v>77</v>
      </c>
      <c r="B23" s="28">
        <v>-50.0</v>
      </c>
      <c r="C23" s="26" t="s">
        <v>79</v>
      </c>
    </row>
    <row r="24" ht="14.25" customHeight="1">
      <c r="A24" s="11" t="s">
        <v>56</v>
      </c>
      <c r="B24" s="12">
        <v>-30.0</v>
      </c>
      <c r="C24" s="11" t="s">
        <v>76</v>
      </c>
    </row>
    <row r="25" ht="14.25" customHeight="1">
      <c r="A25" s="26" t="s">
        <v>77</v>
      </c>
      <c r="B25" s="28">
        <v>-50.0</v>
      </c>
      <c r="C25" s="26" t="s">
        <v>82</v>
      </c>
    </row>
    <row r="26" ht="14.25" customHeight="1">
      <c r="A26" s="31" t="s">
        <v>35</v>
      </c>
      <c r="B26" s="33">
        <v>90.0</v>
      </c>
      <c r="C26" s="11" t="s">
        <v>24</v>
      </c>
    </row>
    <row r="27" ht="14.25" customHeight="1">
      <c r="A27" s="11" t="s">
        <v>80</v>
      </c>
      <c r="B27" s="12">
        <v>45.0</v>
      </c>
      <c r="C27" s="11" t="s">
        <v>84</v>
      </c>
    </row>
    <row r="28" ht="14.25" customHeight="1">
      <c r="A28" s="11" t="s">
        <v>85</v>
      </c>
      <c r="B28" s="12">
        <v>20.0</v>
      </c>
      <c r="C28" s="11" t="s">
        <v>86</v>
      </c>
    </row>
    <row r="29" ht="14.25" customHeight="1">
      <c r="A29" s="34" t="s">
        <v>88</v>
      </c>
      <c r="B29" s="35">
        <v>-205.0</v>
      </c>
      <c r="C29" s="26" t="s">
        <v>82</v>
      </c>
      <c r="F29" s="36"/>
    </row>
    <row r="30" ht="14.25" customHeight="1">
      <c r="A30" s="16" t="s">
        <v>65</v>
      </c>
      <c r="B30" s="17">
        <v>-30.0</v>
      </c>
      <c r="C30" s="16" t="s">
        <v>91</v>
      </c>
    </row>
    <row r="31" ht="14.25" customHeight="1">
      <c r="A31" s="16" t="s">
        <v>74</v>
      </c>
      <c r="B31" s="17">
        <v>90.0</v>
      </c>
      <c r="C31" s="11" t="s">
        <v>24</v>
      </c>
    </row>
    <row r="32" ht="14.25" customHeight="1">
      <c r="A32" s="16" t="s">
        <v>95</v>
      </c>
      <c r="B32" s="17">
        <v>22.5</v>
      </c>
      <c r="C32" s="16" t="s">
        <v>91</v>
      </c>
    </row>
    <row r="33" ht="14.25" customHeight="1">
      <c r="A33" s="16" t="s">
        <v>85</v>
      </c>
      <c r="B33" s="17">
        <v>20.0</v>
      </c>
      <c r="C33" s="16" t="s">
        <v>91</v>
      </c>
    </row>
    <row r="34" ht="14.25" customHeight="1">
      <c r="A34" s="16" t="s">
        <v>80</v>
      </c>
      <c r="B34" s="17">
        <v>22.5</v>
      </c>
      <c r="C34" s="16" t="s">
        <v>98</v>
      </c>
    </row>
    <row r="35" ht="14.25" customHeight="1">
      <c r="A35" s="16" t="s">
        <v>80</v>
      </c>
      <c r="B35" s="17">
        <v>90.0</v>
      </c>
      <c r="C35" s="16" t="s">
        <v>99</v>
      </c>
    </row>
    <row r="36" ht="14.25" customHeight="1">
      <c r="A36" s="16" t="s">
        <v>56</v>
      </c>
      <c r="B36" s="17">
        <v>-30.0</v>
      </c>
      <c r="C36" s="16" t="s">
        <v>98</v>
      </c>
    </row>
    <row r="37" ht="14.25" customHeight="1">
      <c r="A37" s="16" t="s">
        <v>67</v>
      </c>
      <c r="B37" s="17">
        <v>-30.0</v>
      </c>
      <c r="C37" s="16" t="s">
        <v>98</v>
      </c>
    </row>
    <row r="38" ht="14.25" customHeight="1">
      <c r="A38" s="16" t="s">
        <v>103</v>
      </c>
      <c r="B38" s="17">
        <v>22.5</v>
      </c>
      <c r="C38" s="16" t="s">
        <v>98</v>
      </c>
    </row>
    <row r="39" ht="14.25" customHeight="1">
      <c r="A39" s="16" t="s">
        <v>28</v>
      </c>
      <c r="B39" s="17">
        <v>20.0</v>
      </c>
      <c r="C39" s="16" t="s">
        <v>86</v>
      </c>
    </row>
    <row r="40" ht="14.25" customHeight="1">
      <c r="A40" s="40" t="s">
        <v>106</v>
      </c>
      <c r="B40" s="42">
        <f>SUM(B3:B39)</f>
        <v>147.5</v>
      </c>
      <c r="C40" s="43" t="s">
        <v>22</v>
      </c>
    </row>
    <row r="41" ht="14.25" customHeight="1">
      <c r="B41" s="44"/>
    </row>
    <row r="42" ht="14.25" customHeight="1">
      <c r="B42" s="44"/>
    </row>
    <row r="43" ht="14.25" customHeight="1">
      <c r="B43" s="44"/>
    </row>
    <row r="44" ht="14.25" customHeight="1">
      <c r="B44" s="44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</sheetData>
  <autoFilter ref="$I$2:$K$2">
    <sortState ref="I2:K2"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76.57"/>
    <col customWidth="1" min="4" max="4" width="5.0"/>
    <col customWidth="1" min="5" max="5" width="24.29"/>
    <col customWidth="1" min="6" max="6" width="11.86"/>
    <col customWidth="1" min="7" max="7" width="49.86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3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147.5</v>
      </c>
      <c r="C3" s="14" t="s">
        <v>22</v>
      </c>
      <c r="E3" s="11" t="s">
        <v>17</v>
      </c>
      <c r="F3" s="15">
        <v>90.0</v>
      </c>
      <c r="G3" s="11" t="s">
        <v>24</v>
      </c>
      <c r="I3" s="11">
        <v>1.0</v>
      </c>
      <c r="J3" s="11" t="s">
        <v>19</v>
      </c>
      <c r="K3" s="16" t="s">
        <v>20</v>
      </c>
    </row>
    <row r="4" ht="14.25" customHeight="1">
      <c r="A4" s="16" t="s">
        <v>30</v>
      </c>
      <c r="B4" s="18">
        <v>22.5</v>
      </c>
      <c r="C4" s="16" t="s">
        <v>34</v>
      </c>
      <c r="E4" s="11" t="s">
        <v>17</v>
      </c>
      <c r="F4" s="19">
        <v>90.0</v>
      </c>
      <c r="G4" s="21" t="s">
        <v>40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43</v>
      </c>
      <c r="B5" s="19">
        <v>90.0</v>
      </c>
      <c r="C5" s="21" t="s">
        <v>40</v>
      </c>
      <c r="E5" s="22" t="s">
        <v>47</v>
      </c>
      <c r="F5" s="23">
        <v>20.0</v>
      </c>
      <c r="G5" s="20" t="s">
        <v>49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37</v>
      </c>
      <c r="B6" s="18">
        <v>20.0</v>
      </c>
      <c r="C6" s="11" t="s">
        <v>38</v>
      </c>
      <c r="E6" s="21" t="s">
        <v>28</v>
      </c>
      <c r="F6" s="19">
        <v>40.0</v>
      </c>
      <c r="G6" s="16" t="s">
        <v>51</v>
      </c>
      <c r="I6" s="11">
        <v>6.0</v>
      </c>
      <c r="J6" s="11" t="s">
        <v>39</v>
      </c>
      <c r="K6" s="16" t="s">
        <v>20</v>
      </c>
    </row>
    <row r="7" ht="14.25" customHeight="1">
      <c r="A7" s="21" t="s">
        <v>58</v>
      </c>
      <c r="B7" s="18">
        <v>90.0</v>
      </c>
      <c r="C7" s="21" t="s">
        <v>40</v>
      </c>
      <c r="I7" s="11">
        <v>7.0</v>
      </c>
      <c r="J7" s="11" t="s">
        <v>41</v>
      </c>
      <c r="K7" s="16" t="s">
        <v>20</v>
      </c>
    </row>
    <row r="8" ht="14.25" customHeight="1">
      <c r="A8" s="21" t="s">
        <v>19</v>
      </c>
      <c r="B8" s="18">
        <v>90.0</v>
      </c>
      <c r="C8" s="21" t="s">
        <v>40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67</v>
      </c>
      <c r="B9" s="18">
        <v>-30.0</v>
      </c>
      <c r="C9" s="16" t="s">
        <v>34</v>
      </c>
      <c r="E9" s="11" t="s">
        <v>46</v>
      </c>
      <c r="F9" s="12">
        <f>SUM(F3:F6)</f>
        <v>240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56</v>
      </c>
      <c r="B10" s="18">
        <v>-30.0</v>
      </c>
      <c r="C10" s="16" t="s">
        <v>34</v>
      </c>
      <c r="I10" s="11">
        <v>3.0</v>
      </c>
      <c r="J10" s="11" t="s">
        <v>60</v>
      </c>
      <c r="K10" s="16" t="s">
        <v>20</v>
      </c>
    </row>
    <row r="11" ht="14.25" customHeight="1">
      <c r="A11" s="21" t="s">
        <v>69</v>
      </c>
      <c r="B11" s="18">
        <v>90.0</v>
      </c>
      <c r="C11" s="21" t="s">
        <v>40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33</v>
      </c>
      <c r="B12" s="18">
        <v>90.0</v>
      </c>
      <c r="C12" s="21" t="s">
        <v>40</v>
      </c>
      <c r="I12" s="11">
        <v>9.0</v>
      </c>
      <c r="J12" s="11" t="s">
        <v>17</v>
      </c>
      <c r="K12" s="11"/>
    </row>
    <row r="13" ht="14.25" customHeight="1">
      <c r="A13" s="21" t="s">
        <v>39</v>
      </c>
      <c r="B13" s="18">
        <v>90.0</v>
      </c>
      <c r="C13" s="21" t="s">
        <v>40</v>
      </c>
      <c r="I13" s="11">
        <v>10.0</v>
      </c>
      <c r="J13" s="11" t="s">
        <v>69</v>
      </c>
      <c r="K13" s="16" t="s">
        <v>20</v>
      </c>
    </row>
    <row r="14" ht="14.25" customHeight="1">
      <c r="A14" s="21" t="s">
        <v>64</v>
      </c>
      <c r="B14" s="18">
        <v>90.0</v>
      </c>
      <c r="C14" s="21" t="s">
        <v>40</v>
      </c>
      <c r="I14" s="11">
        <v>11.0</v>
      </c>
      <c r="J14" s="16" t="s">
        <v>80</v>
      </c>
      <c r="K14" s="16" t="s">
        <v>20</v>
      </c>
    </row>
    <row r="15" ht="14.25" customHeight="1">
      <c r="A15" s="21" t="s">
        <v>42</v>
      </c>
      <c r="B15" s="18">
        <v>90.0</v>
      </c>
      <c r="C15" s="21" t="s">
        <v>40</v>
      </c>
      <c r="I15" s="11">
        <v>12.0</v>
      </c>
      <c r="J15" s="11" t="s">
        <v>42</v>
      </c>
      <c r="K15" s="16" t="s">
        <v>20</v>
      </c>
    </row>
    <row r="16" ht="14.25" customHeight="1">
      <c r="A16" s="21" t="s">
        <v>17</v>
      </c>
      <c r="B16" s="18">
        <v>80.0</v>
      </c>
      <c r="C16" s="21" t="s">
        <v>18</v>
      </c>
      <c r="I16" s="11">
        <v>14.0</v>
      </c>
      <c r="J16" s="11" t="s">
        <v>74</v>
      </c>
      <c r="K16" s="16" t="s">
        <v>20</v>
      </c>
    </row>
    <row r="17" ht="14.25" customHeight="1">
      <c r="A17" s="21" t="s">
        <v>60</v>
      </c>
      <c r="B17" s="18">
        <v>90.0</v>
      </c>
      <c r="C17" s="21" t="s">
        <v>40</v>
      </c>
    </row>
    <row r="18" ht="14.25" customHeight="1">
      <c r="A18" s="11" t="s">
        <v>41</v>
      </c>
      <c r="B18" s="19">
        <v>90.0</v>
      </c>
      <c r="C18" s="21" t="s">
        <v>40</v>
      </c>
    </row>
    <row r="19" ht="14.25" customHeight="1">
      <c r="A19" s="11" t="s">
        <v>28</v>
      </c>
      <c r="B19" s="18">
        <v>60.0</v>
      </c>
      <c r="C19" s="16" t="s">
        <v>89</v>
      </c>
    </row>
    <row r="20" ht="14.25" customHeight="1">
      <c r="A20" s="16" t="s">
        <v>58</v>
      </c>
      <c r="B20" s="18">
        <v>20.0</v>
      </c>
      <c r="C20" s="16" t="s">
        <v>92</v>
      </c>
    </row>
    <row r="21" ht="14.25" customHeight="1">
      <c r="A21" s="16" t="s">
        <v>93</v>
      </c>
      <c r="B21" s="18">
        <v>20.0</v>
      </c>
      <c r="C21" s="16" t="s">
        <v>94</v>
      </c>
    </row>
    <row r="22" ht="14.25" customHeight="1">
      <c r="A22" s="16" t="s">
        <v>41</v>
      </c>
      <c r="B22" s="18">
        <v>20.0</v>
      </c>
      <c r="C22" s="16" t="s">
        <v>92</v>
      </c>
    </row>
    <row r="23" ht="14.25" customHeight="1">
      <c r="A23" s="16" t="s">
        <v>19</v>
      </c>
      <c r="B23" s="18">
        <v>20.0</v>
      </c>
      <c r="C23" s="16" t="s">
        <v>92</v>
      </c>
    </row>
    <row r="24" ht="14.25" customHeight="1">
      <c r="A24" s="16" t="s">
        <v>43</v>
      </c>
      <c r="B24" s="18">
        <v>20.0</v>
      </c>
      <c r="C24" s="16" t="s">
        <v>92</v>
      </c>
    </row>
    <row r="25" ht="14.25" customHeight="1">
      <c r="A25" s="21" t="s">
        <v>64</v>
      </c>
      <c r="B25" s="18">
        <v>20.0</v>
      </c>
      <c r="C25" s="16" t="s">
        <v>92</v>
      </c>
    </row>
    <row r="26" ht="14.25" customHeight="1">
      <c r="A26" s="26" t="s">
        <v>77</v>
      </c>
      <c r="B26" s="38">
        <v>-950.0</v>
      </c>
      <c r="C26" s="34" t="s">
        <v>104</v>
      </c>
    </row>
    <row r="27" ht="14.25" customHeight="1">
      <c r="A27" s="16" t="s">
        <v>105</v>
      </c>
      <c r="B27" s="18">
        <v>-35.0</v>
      </c>
      <c r="C27" s="16" t="s">
        <v>92</v>
      </c>
    </row>
    <row r="28" ht="14.25" customHeight="1">
      <c r="A28" s="16" t="s">
        <v>56</v>
      </c>
      <c r="B28" s="18">
        <v>-30.0</v>
      </c>
      <c r="C28" s="16" t="s">
        <v>94</v>
      </c>
    </row>
    <row r="29" ht="14.25" customHeight="1">
      <c r="A29" s="16" t="s">
        <v>67</v>
      </c>
      <c r="B29" s="18">
        <v>-30.0</v>
      </c>
      <c r="C29" s="16" t="s">
        <v>94</v>
      </c>
    </row>
    <row r="30" ht="14.25" customHeight="1">
      <c r="A30" s="16" t="s">
        <v>108</v>
      </c>
      <c r="B30" s="18">
        <v>-163.95</v>
      </c>
      <c r="C30" s="16" t="s">
        <v>92</v>
      </c>
    </row>
    <row r="31" ht="14.25" customHeight="1">
      <c r="A31" s="16" t="s">
        <v>26</v>
      </c>
      <c r="B31" s="18">
        <v>20.0</v>
      </c>
      <c r="C31" s="16" t="s">
        <v>92</v>
      </c>
    </row>
    <row r="32" ht="14.25" customHeight="1">
      <c r="A32" s="21" t="s">
        <v>26</v>
      </c>
      <c r="B32" s="19">
        <v>90.0</v>
      </c>
      <c r="C32" s="21" t="s">
        <v>40</v>
      </c>
    </row>
    <row r="33" ht="14.25" customHeight="1">
      <c r="A33" s="21" t="s">
        <v>33</v>
      </c>
      <c r="B33" s="19">
        <v>20.0</v>
      </c>
      <c r="C33" s="16" t="s">
        <v>92</v>
      </c>
    </row>
    <row r="34" ht="14.25" customHeight="1">
      <c r="A34" s="21" t="s">
        <v>65</v>
      </c>
      <c r="B34" s="19">
        <v>-30.0</v>
      </c>
      <c r="C34" s="16" t="s">
        <v>49</v>
      </c>
    </row>
    <row r="35" ht="14.25" customHeight="1">
      <c r="A35" s="21" t="s">
        <v>116</v>
      </c>
      <c r="B35" s="19">
        <v>-30.0</v>
      </c>
      <c r="C35" s="16" t="s">
        <v>49</v>
      </c>
    </row>
    <row r="36" ht="14.25" customHeight="1">
      <c r="A36" s="21" t="s">
        <v>32</v>
      </c>
      <c r="B36" s="19">
        <v>20.0</v>
      </c>
      <c r="C36" s="16" t="s">
        <v>49</v>
      </c>
    </row>
    <row r="37" ht="14.25" customHeight="1">
      <c r="A37" s="21" t="s">
        <v>105</v>
      </c>
      <c r="B37" s="19">
        <v>-55.0</v>
      </c>
      <c r="C37" s="16" t="s">
        <v>123</v>
      </c>
    </row>
    <row r="38" ht="14.25" customHeight="1">
      <c r="A38" s="21" t="s">
        <v>74</v>
      </c>
      <c r="B38" s="19">
        <v>90.0</v>
      </c>
      <c r="C38" s="21" t="s">
        <v>40</v>
      </c>
    </row>
    <row r="39" ht="14.25" customHeight="1">
      <c r="A39" s="47" t="s">
        <v>126</v>
      </c>
      <c r="B39" s="24">
        <v>20.0</v>
      </c>
      <c r="C39" s="16" t="s">
        <v>129</v>
      </c>
    </row>
    <row r="40" ht="14.25" customHeight="1">
      <c r="A40" s="21" t="s">
        <v>42</v>
      </c>
      <c r="B40" s="19">
        <v>20.0</v>
      </c>
      <c r="C40" s="16" t="s">
        <v>92</v>
      </c>
    </row>
    <row r="41" ht="14.25" customHeight="1">
      <c r="A41" s="21" t="s">
        <v>67</v>
      </c>
      <c r="B41" s="19">
        <v>-30.0</v>
      </c>
      <c r="C41" s="16" t="s">
        <v>129</v>
      </c>
    </row>
    <row r="42" ht="14.25" customHeight="1">
      <c r="A42" s="21" t="s">
        <v>131</v>
      </c>
      <c r="B42" s="19">
        <v>60.0</v>
      </c>
      <c r="C42" s="16" t="s">
        <v>133</v>
      </c>
    </row>
    <row r="43" ht="14.25" customHeight="1">
      <c r="A43" s="22" t="s">
        <v>126</v>
      </c>
      <c r="B43" s="23">
        <v>20.0</v>
      </c>
      <c r="C43" s="20" t="s">
        <v>49</v>
      </c>
    </row>
    <row r="44" ht="14.25" customHeight="1">
      <c r="A44" s="50"/>
      <c r="B44" s="50"/>
      <c r="C44" s="50"/>
    </row>
    <row r="45" ht="14.25" customHeight="1">
      <c r="A45" s="40" t="s">
        <v>106</v>
      </c>
      <c r="B45" s="42">
        <f>SUM(B3:B44)</f>
        <v>296.05</v>
      </c>
      <c r="C45" s="43" t="s">
        <v>141</v>
      </c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11.86"/>
    <col customWidth="1" min="3" max="3" width="76.57"/>
    <col customWidth="1" min="4" max="4" width="5.0"/>
    <col customWidth="1" min="5" max="5" width="42.86"/>
    <col customWidth="1" min="6" max="6" width="11.86"/>
    <col customWidth="1" min="7" max="7" width="40.86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7</v>
      </c>
      <c r="B1" s="2"/>
      <c r="C1" s="3"/>
      <c r="E1" s="4" t="s">
        <v>1</v>
      </c>
      <c r="F1" s="2"/>
      <c r="G1" s="3"/>
      <c r="I1" s="1" t="s">
        <v>14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296.05</v>
      </c>
      <c r="C3" s="14" t="s">
        <v>25</v>
      </c>
      <c r="E3" s="11" t="s">
        <v>17</v>
      </c>
      <c r="F3" s="15">
        <v>90.0</v>
      </c>
      <c r="G3" s="11" t="s">
        <v>24</v>
      </c>
      <c r="I3" s="11">
        <v>1.0</v>
      </c>
      <c r="J3" s="11" t="s">
        <v>19</v>
      </c>
      <c r="K3" s="16" t="s">
        <v>20</v>
      </c>
    </row>
    <row r="4" ht="14.25" customHeight="1">
      <c r="A4" s="16" t="s">
        <v>32</v>
      </c>
      <c r="B4" s="18">
        <v>20.0</v>
      </c>
      <c r="C4" s="16" t="s">
        <v>36</v>
      </c>
      <c r="E4" s="11" t="s">
        <v>17</v>
      </c>
      <c r="F4" s="19">
        <v>20.0</v>
      </c>
      <c r="G4" s="20" t="s">
        <v>34</v>
      </c>
      <c r="I4" s="11">
        <v>2.0</v>
      </c>
      <c r="J4" s="11" t="s">
        <v>26</v>
      </c>
      <c r="K4" s="11"/>
    </row>
    <row r="5" ht="14.25" customHeight="1">
      <c r="A5" s="21" t="s">
        <v>28</v>
      </c>
      <c r="B5" s="19">
        <v>20.0</v>
      </c>
      <c r="C5" s="16" t="s">
        <v>44</v>
      </c>
      <c r="E5" s="11" t="s">
        <v>17</v>
      </c>
      <c r="F5" s="19">
        <v>20.0</v>
      </c>
      <c r="G5" s="16" t="s">
        <v>48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28</v>
      </c>
      <c r="B6" s="19">
        <v>40.0</v>
      </c>
      <c r="C6" s="16" t="s">
        <v>51</v>
      </c>
      <c r="E6" s="11" t="s">
        <v>17</v>
      </c>
      <c r="F6" s="19">
        <v>20.0</v>
      </c>
      <c r="G6" s="16" t="s">
        <v>54</v>
      </c>
      <c r="I6" s="11">
        <v>6.0</v>
      </c>
      <c r="J6" s="11" t="s">
        <v>39</v>
      </c>
      <c r="K6" s="16" t="s">
        <v>20</v>
      </c>
    </row>
    <row r="7" ht="14.25" customHeight="1">
      <c r="A7" s="21" t="s">
        <v>56</v>
      </c>
      <c r="B7" s="18">
        <v>-30.0</v>
      </c>
      <c r="C7" s="16" t="s">
        <v>44</v>
      </c>
      <c r="E7" s="21" t="s">
        <v>59</v>
      </c>
      <c r="F7" s="19">
        <v>20.0</v>
      </c>
      <c r="G7" s="21" t="s">
        <v>62</v>
      </c>
      <c r="I7" s="11">
        <v>7.0</v>
      </c>
      <c r="J7" s="11" t="s">
        <v>41</v>
      </c>
      <c r="K7" s="16" t="s">
        <v>20</v>
      </c>
    </row>
    <row r="8" ht="14.25" customHeight="1">
      <c r="A8" s="21" t="s">
        <v>65</v>
      </c>
      <c r="B8" s="18">
        <v>-30.0</v>
      </c>
      <c r="C8" s="16" t="s">
        <v>44</v>
      </c>
      <c r="E8" s="21" t="s">
        <v>28</v>
      </c>
      <c r="F8" s="19">
        <v>20.0</v>
      </c>
      <c r="G8" s="21" t="s">
        <v>62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42</v>
      </c>
      <c r="B9" s="18">
        <v>90.0</v>
      </c>
      <c r="C9" s="21" t="s">
        <v>71</v>
      </c>
      <c r="E9" s="21" t="s">
        <v>26</v>
      </c>
      <c r="F9" s="19">
        <v>90.0</v>
      </c>
      <c r="G9" s="21" t="s">
        <v>71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69</v>
      </c>
      <c r="B10" s="18">
        <v>90.0</v>
      </c>
      <c r="C10" s="21" t="s">
        <v>71</v>
      </c>
      <c r="E10" s="21" t="s">
        <v>26</v>
      </c>
      <c r="F10" s="24">
        <v>20.0</v>
      </c>
      <c r="G10" s="21" t="s">
        <v>45</v>
      </c>
      <c r="I10" s="11">
        <v>3.0</v>
      </c>
      <c r="J10" s="11" t="s">
        <v>60</v>
      </c>
      <c r="K10" s="16" t="s">
        <v>20</v>
      </c>
    </row>
    <row r="11" ht="14.25" customHeight="1">
      <c r="A11" s="21" t="s">
        <v>43</v>
      </c>
      <c r="B11" s="18">
        <v>90.0</v>
      </c>
      <c r="C11" s="21" t="s">
        <v>71</v>
      </c>
      <c r="E11" s="21" t="s">
        <v>74</v>
      </c>
      <c r="F11" s="19">
        <v>90.0</v>
      </c>
      <c r="G11" s="21" t="s">
        <v>71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39</v>
      </c>
      <c r="B12" s="18">
        <v>90.0</v>
      </c>
      <c r="C12" s="21" t="s">
        <v>71</v>
      </c>
      <c r="E12" s="25" t="s">
        <v>43</v>
      </c>
      <c r="F12" s="27">
        <v>20.0</v>
      </c>
      <c r="G12" s="21" t="s">
        <v>45</v>
      </c>
      <c r="I12" s="11">
        <v>9.0</v>
      </c>
      <c r="J12" s="29" t="s">
        <v>32</v>
      </c>
      <c r="K12" s="16" t="s">
        <v>20</v>
      </c>
    </row>
    <row r="13" ht="14.25" customHeight="1">
      <c r="A13" s="21" t="s">
        <v>81</v>
      </c>
      <c r="B13" s="18">
        <v>90.0</v>
      </c>
      <c r="C13" s="21" t="s">
        <v>71</v>
      </c>
      <c r="E13" s="30" t="s">
        <v>83</v>
      </c>
      <c r="F13" s="32">
        <v>20.0</v>
      </c>
      <c r="G13" s="21" t="s">
        <v>45</v>
      </c>
      <c r="I13" s="11">
        <v>10.0</v>
      </c>
      <c r="J13" s="11" t="s">
        <v>69</v>
      </c>
      <c r="K13" s="16" t="s">
        <v>20</v>
      </c>
    </row>
    <row r="14" ht="14.25" customHeight="1">
      <c r="A14" s="21" t="s">
        <v>60</v>
      </c>
      <c r="B14" s="18">
        <v>90.0</v>
      </c>
      <c r="C14" s="21" t="s">
        <v>71</v>
      </c>
      <c r="E14" s="21" t="s">
        <v>87</v>
      </c>
      <c r="F14" s="19">
        <v>20.0</v>
      </c>
      <c r="G14" s="21" t="s">
        <v>45</v>
      </c>
      <c r="I14" s="11">
        <v>11.0</v>
      </c>
      <c r="J14" s="20" t="s">
        <v>80</v>
      </c>
      <c r="K14" s="16" t="s">
        <v>20</v>
      </c>
    </row>
    <row r="15" ht="14.25" customHeight="1">
      <c r="A15" s="21" t="s">
        <v>90</v>
      </c>
      <c r="B15" s="18">
        <v>90.0</v>
      </c>
      <c r="C15" s="21" t="s">
        <v>71</v>
      </c>
      <c r="E15" s="21" t="s">
        <v>42</v>
      </c>
      <c r="F15" s="19">
        <v>20.0</v>
      </c>
      <c r="G15" s="21" t="s">
        <v>45</v>
      </c>
      <c r="I15" s="11">
        <v>12.0</v>
      </c>
      <c r="J15" s="11" t="s">
        <v>42</v>
      </c>
      <c r="K15" s="16" t="s">
        <v>20</v>
      </c>
    </row>
    <row r="16" ht="14.25" customHeight="1">
      <c r="A16" s="21" t="s">
        <v>96</v>
      </c>
      <c r="B16" s="18">
        <v>90.0</v>
      </c>
      <c r="C16" s="21" t="s">
        <v>71</v>
      </c>
      <c r="D16" s="21"/>
      <c r="I16" s="11">
        <v>14.0</v>
      </c>
      <c r="J16" s="11" t="s">
        <v>74</v>
      </c>
      <c r="K16" s="16"/>
    </row>
    <row r="17" ht="14.25" customHeight="1">
      <c r="A17" s="21" t="s">
        <v>97</v>
      </c>
      <c r="B17" s="18">
        <v>90.0</v>
      </c>
      <c r="C17" s="21" t="s">
        <v>71</v>
      </c>
      <c r="I17" s="21">
        <v>15.0</v>
      </c>
      <c r="J17" s="17" t="s">
        <v>100</v>
      </c>
      <c r="K17" s="16" t="s">
        <v>20</v>
      </c>
    </row>
    <row r="18" ht="14.25" customHeight="1">
      <c r="A18" s="21" t="s">
        <v>102</v>
      </c>
      <c r="B18" s="18">
        <v>90.0</v>
      </c>
      <c r="C18" s="21" t="s">
        <v>71</v>
      </c>
      <c r="E18" s="11" t="s">
        <v>46</v>
      </c>
      <c r="F18" s="12">
        <f>SUM(F3:F15)</f>
        <v>470</v>
      </c>
    </row>
    <row r="19" ht="14.25" customHeight="1">
      <c r="A19" s="21" t="s">
        <v>80</v>
      </c>
      <c r="B19" s="18">
        <v>90.0</v>
      </c>
      <c r="C19" s="21" t="s">
        <v>71</v>
      </c>
    </row>
    <row r="20" ht="14.25" customHeight="1">
      <c r="A20" s="26" t="s">
        <v>77</v>
      </c>
      <c r="B20" s="38">
        <v>-950.0</v>
      </c>
      <c r="C20" s="34" t="s">
        <v>112</v>
      </c>
    </row>
    <row r="21" ht="14.25" customHeight="1">
      <c r="A21" s="21" t="s">
        <v>105</v>
      </c>
      <c r="B21" s="19">
        <v>-35.0</v>
      </c>
      <c r="C21" s="16" t="s">
        <v>114</v>
      </c>
      <c r="E21" s="41" t="s">
        <v>107</v>
      </c>
      <c r="F21" s="3"/>
    </row>
    <row r="22" ht="14.25" customHeight="1">
      <c r="A22" s="16" t="s">
        <v>32</v>
      </c>
      <c r="B22" s="19">
        <v>70.0</v>
      </c>
      <c r="C22" s="21" t="s">
        <v>71</v>
      </c>
      <c r="E22" s="21" t="s">
        <v>110</v>
      </c>
      <c r="F22" s="21" t="s">
        <v>111</v>
      </c>
    </row>
    <row r="23" ht="14.25" customHeight="1">
      <c r="A23" s="21" t="s">
        <v>65</v>
      </c>
      <c r="B23" s="19">
        <v>-30.0</v>
      </c>
      <c r="C23" s="16" t="s">
        <v>48</v>
      </c>
      <c r="E23" s="21" t="s">
        <v>115</v>
      </c>
      <c r="F23" s="21" t="s">
        <v>111</v>
      </c>
    </row>
    <row r="24" ht="14.25" customHeight="1">
      <c r="A24" s="21" t="s">
        <v>67</v>
      </c>
      <c r="B24" s="19">
        <v>-30.0</v>
      </c>
      <c r="C24" s="16" t="s">
        <v>48</v>
      </c>
      <c r="E24" s="21" t="s">
        <v>117</v>
      </c>
      <c r="F24" s="21" t="s">
        <v>111</v>
      </c>
    </row>
    <row r="25" ht="14.25" customHeight="1">
      <c r="A25" s="22" t="s">
        <v>47</v>
      </c>
      <c r="B25" s="23">
        <v>20.0</v>
      </c>
      <c r="C25" s="20" t="s">
        <v>49</v>
      </c>
      <c r="E25" s="21" t="s">
        <v>118</v>
      </c>
      <c r="F25" s="21" t="s">
        <v>111</v>
      </c>
    </row>
    <row r="26" ht="14.25" customHeight="1">
      <c r="A26" s="21" t="s">
        <v>125</v>
      </c>
      <c r="B26" s="19">
        <v>60.0</v>
      </c>
      <c r="C26" s="16" t="s">
        <v>127</v>
      </c>
      <c r="E26" s="21" t="s">
        <v>120</v>
      </c>
      <c r="F26" s="21" t="s">
        <v>111</v>
      </c>
    </row>
    <row r="27" ht="14.25" customHeight="1">
      <c r="A27" s="21" t="s">
        <v>56</v>
      </c>
      <c r="B27" s="19">
        <v>-30.0</v>
      </c>
      <c r="C27" s="21" t="s">
        <v>130</v>
      </c>
      <c r="E27" s="21" t="s">
        <v>124</v>
      </c>
      <c r="F27" s="21" t="s">
        <v>111</v>
      </c>
      <c r="G27" s="49"/>
    </row>
    <row r="28" ht="14.25" customHeight="1">
      <c r="A28" s="21" t="s">
        <v>93</v>
      </c>
      <c r="B28" s="19">
        <v>20.0</v>
      </c>
      <c r="C28" s="21" t="s">
        <v>62</v>
      </c>
      <c r="E28" s="21" t="s">
        <v>128</v>
      </c>
      <c r="F28" s="48" t="s">
        <v>111</v>
      </c>
    </row>
    <row r="29" ht="14.25" customHeight="1">
      <c r="A29" s="21" t="s">
        <v>50</v>
      </c>
      <c r="B29" s="19">
        <v>-30.0</v>
      </c>
      <c r="C29" s="21" t="s">
        <v>62</v>
      </c>
      <c r="E29" s="21" t="s">
        <v>132</v>
      </c>
      <c r="F29" s="21" t="s">
        <v>111</v>
      </c>
    </row>
    <row r="30" ht="14.25" customHeight="1">
      <c r="A30" s="21" t="s">
        <v>50</v>
      </c>
      <c r="B30" s="19">
        <v>-30.0</v>
      </c>
      <c r="C30" s="21" t="s">
        <v>137</v>
      </c>
      <c r="E30" s="21" t="s">
        <v>134</v>
      </c>
      <c r="F30" s="21" t="s">
        <v>111</v>
      </c>
    </row>
    <row r="31" ht="14.25" customHeight="1">
      <c r="A31" s="21" t="s">
        <v>65</v>
      </c>
      <c r="B31" s="19">
        <v>-30.0</v>
      </c>
      <c r="C31" s="16" t="s">
        <v>54</v>
      </c>
      <c r="E31" s="21" t="s">
        <v>136</v>
      </c>
      <c r="F31" s="21" t="s">
        <v>111</v>
      </c>
    </row>
    <row r="32" ht="14.25" customHeight="1">
      <c r="A32" s="21" t="s">
        <v>140</v>
      </c>
      <c r="B32" s="19">
        <v>40.0</v>
      </c>
      <c r="C32" s="21" t="s">
        <v>45</v>
      </c>
      <c r="E32" s="21" t="s">
        <v>138</v>
      </c>
      <c r="F32" s="21" t="s">
        <v>111</v>
      </c>
    </row>
    <row r="33" ht="14.25" customHeight="1">
      <c r="A33" s="21" t="s">
        <v>143</v>
      </c>
      <c r="B33" s="19">
        <v>40.0</v>
      </c>
      <c r="C33" s="21" t="s">
        <v>45</v>
      </c>
      <c r="E33" s="21" t="s">
        <v>142</v>
      </c>
      <c r="F33" s="50"/>
    </row>
    <row r="34" ht="14.25" customHeight="1">
      <c r="A34" s="21" t="s">
        <v>35</v>
      </c>
      <c r="B34" s="19">
        <v>20.0</v>
      </c>
      <c r="C34" s="21" t="s">
        <v>45</v>
      </c>
      <c r="E34" s="21" t="s">
        <v>144</v>
      </c>
      <c r="F34" s="21" t="s">
        <v>111</v>
      </c>
    </row>
    <row r="35" ht="14.25" customHeight="1">
      <c r="A35" s="21" t="s">
        <v>147</v>
      </c>
      <c r="B35" s="19">
        <v>40.0</v>
      </c>
      <c r="C35" s="21" t="s">
        <v>45</v>
      </c>
      <c r="E35" s="21" t="s">
        <v>145</v>
      </c>
      <c r="F35" s="50"/>
    </row>
    <row r="36" ht="14.25" customHeight="1">
      <c r="A36" s="21" t="s">
        <v>148</v>
      </c>
      <c r="B36" s="19">
        <v>120.0</v>
      </c>
      <c r="C36" s="21" t="s">
        <v>45</v>
      </c>
      <c r="E36" s="21" t="s">
        <v>146</v>
      </c>
      <c r="F36" s="50"/>
    </row>
    <row r="37" ht="14.25" customHeight="1">
      <c r="A37" s="21" t="s">
        <v>41</v>
      </c>
      <c r="B37" s="19">
        <v>-324.63</v>
      </c>
      <c r="C37" s="21" t="s">
        <v>149</v>
      </c>
      <c r="E37" s="21" t="s">
        <v>150</v>
      </c>
      <c r="F37" s="21" t="s">
        <v>111</v>
      </c>
    </row>
    <row r="38" ht="14.25" customHeight="1">
      <c r="A38" s="21" t="s">
        <v>32</v>
      </c>
      <c r="B38" s="19">
        <v>20.0</v>
      </c>
      <c r="C38" s="21" t="s">
        <v>45</v>
      </c>
      <c r="E38" s="21" t="s">
        <v>151</v>
      </c>
      <c r="F38" s="21" t="s">
        <v>111</v>
      </c>
    </row>
    <row r="39" ht="14.25" customHeight="1">
      <c r="A39" s="21" t="s">
        <v>153</v>
      </c>
      <c r="B39" s="19">
        <v>20.0</v>
      </c>
      <c r="C39" s="21" t="s">
        <v>45</v>
      </c>
      <c r="E39" s="21" t="s">
        <v>152</v>
      </c>
      <c r="F39" s="21"/>
    </row>
    <row r="40" ht="14.25" customHeight="1">
      <c r="A40" s="21" t="s">
        <v>60</v>
      </c>
      <c r="B40" s="19">
        <v>20.0</v>
      </c>
      <c r="C40" s="21" t="s">
        <v>45</v>
      </c>
      <c r="E40" s="21" t="s">
        <v>154</v>
      </c>
      <c r="F40" s="21" t="s">
        <v>111</v>
      </c>
    </row>
    <row r="41" ht="14.25" customHeight="1">
      <c r="A41" s="21"/>
      <c r="B41" s="21"/>
      <c r="C41" s="21"/>
      <c r="E41" s="21" t="s">
        <v>155</v>
      </c>
      <c r="F41" s="21" t="s">
        <v>111</v>
      </c>
    </row>
    <row r="42" ht="14.25" customHeight="1">
      <c r="A42" s="21"/>
      <c r="B42" s="21"/>
      <c r="C42" s="21"/>
      <c r="E42" s="21" t="s">
        <v>156</v>
      </c>
      <c r="F42" s="21" t="s">
        <v>111</v>
      </c>
    </row>
    <row r="43" ht="14.25" customHeight="1">
      <c r="A43" s="21"/>
      <c r="B43" s="21"/>
      <c r="C43" s="21"/>
    </row>
    <row r="44" ht="14.25" customHeight="1">
      <c r="A44" s="21"/>
      <c r="B44" s="21"/>
      <c r="C44" s="21"/>
    </row>
    <row r="45" ht="14.25" customHeight="1">
      <c r="A45" s="21"/>
      <c r="B45" s="21"/>
      <c r="C45" s="21"/>
    </row>
    <row r="46" ht="14.25" customHeight="1">
      <c r="A46" s="21"/>
      <c r="B46" s="21"/>
      <c r="C46" s="21"/>
    </row>
    <row r="47" ht="14.25" customHeight="1">
      <c r="A47" s="21"/>
      <c r="B47" s="21"/>
      <c r="C47" s="21"/>
    </row>
    <row r="48" ht="14.25" customHeight="1">
      <c r="A48" s="21"/>
      <c r="B48" s="21"/>
      <c r="C48" s="21"/>
    </row>
    <row r="49" ht="14.25" customHeight="1">
      <c r="A49" s="21"/>
      <c r="B49" s="21"/>
      <c r="C49" s="21"/>
    </row>
    <row r="50" ht="14.25" customHeight="1">
      <c r="A50" s="51" t="s">
        <v>106</v>
      </c>
      <c r="B50" s="52">
        <f>SUM(B3:B49)</f>
        <v>306.42</v>
      </c>
      <c r="C50" s="53" t="s">
        <v>157</v>
      </c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autoFilter ref="$I$2:$K$2">
    <sortState ref="I2:K2">
      <sortCondition ref="K2"/>
    </sortState>
  </autoFilter>
  <mergeCells count="4">
    <mergeCell ref="A1:C1"/>
    <mergeCell ref="E1:G1"/>
    <mergeCell ref="I1:K1"/>
    <mergeCell ref="E21:F21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76.57"/>
    <col customWidth="1" min="4" max="4" width="5.0"/>
    <col customWidth="1" min="5" max="5" width="38.43"/>
    <col customWidth="1" min="6" max="6" width="11.86"/>
    <col customWidth="1" min="7" max="7" width="40.86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11</v>
      </c>
      <c r="B1" s="2"/>
      <c r="C1" s="3"/>
      <c r="E1" s="4" t="s">
        <v>1</v>
      </c>
      <c r="F1" s="2"/>
      <c r="G1" s="3"/>
      <c r="I1" s="1" t="s">
        <v>15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306.42</v>
      </c>
      <c r="C3" s="14" t="s">
        <v>29</v>
      </c>
      <c r="E3" s="11" t="s">
        <v>17</v>
      </c>
      <c r="F3" s="19">
        <v>20.0</v>
      </c>
      <c r="G3" s="20" t="s">
        <v>34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42</v>
      </c>
      <c r="B4" s="19">
        <v>20.0</v>
      </c>
      <c r="C4" s="21" t="s">
        <v>45</v>
      </c>
      <c r="E4" s="11" t="s">
        <v>17</v>
      </c>
      <c r="F4" s="19">
        <v>20.0</v>
      </c>
      <c r="G4" s="16" t="s">
        <v>48</v>
      </c>
      <c r="I4" s="11">
        <v>2.0</v>
      </c>
      <c r="J4" s="11" t="s">
        <v>26</v>
      </c>
      <c r="K4" s="11"/>
    </row>
    <row r="5" ht="14.25" customHeight="1">
      <c r="A5" s="21" t="s">
        <v>50</v>
      </c>
      <c r="B5" s="19">
        <v>-30.0</v>
      </c>
      <c r="C5" s="16" t="s">
        <v>52</v>
      </c>
      <c r="E5" s="11" t="s">
        <v>17</v>
      </c>
      <c r="F5" s="19">
        <v>20.0</v>
      </c>
      <c r="G5" s="16" t="s">
        <v>54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53</v>
      </c>
      <c r="B6" s="19">
        <v>90.0</v>
      </c>
      <c r="C6" s="16" t="s">
        <v>57</v>
      </c>
      <c r="E6" s="11" t="s">
        <v>17</v>
      </c>
      <c r="F6" s="19">
        <v>20.0</v>
      </c>
      <c r="G6" s="16" t="s">
        <v>61</v>
      </c>
      <c r="I6" s="11">
        <v>6.0</v>
      </c>
      <c r="J6" s="11" t="s">
        <v>39</v>
      </c>
      <c r="K6" s="16" t="s">
        <v>63</v>
      </c>
    </row>
    <row r="7" ht="14.25" customHeight="1">
      <c r="A7" s="21" t="s">
        <v>64</v>
      </c>
      <c r="B7" s="19">
        <v>90.0</v>
      </c>
      <c r="C7" s="16" t="s">
        <v>57</v>
      </c>
      <c r="E7" s="11" t="s">
        <v>17</v>
      </c>
      <c r="F7" s="19">
        <v>20.0</v>
      </c>
      <c r="G7" s="21" t="s">
        <v>66</v>
      </c>
      <c r="I7" s="11">
        <v>7.0</v>
      </c>
      <c r="J7" s="11" t="s">
        <v>41</v>
      </c>
      <c r="K7" s="16" t="s">
        <v>20</v>
      </c>
    </row>
    <row r="8" ht="14.25" customHeight="1">
      <c r="A8" s="21" t="s">
        <v>43</v>
      </c>
      <c r="B8" s="18">
        <v>130.0</v>
      </c>
      <c r="C8" s="16" t="s">
        <v>70</v>
      </c>
      <c r="E8" s="21" t="s">
        <v>59</v>
      </c>
      <c r="F8" s="24">
        <v>20.0</v>
      </c>
      <c r="G8" s="21" t="s">
        <v>73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60</v>
      </c>
      <c r="B9" s="18">
        <v>90.0</v>
      </c>
      <c r="C9" s="16" t="s">
        <v>57</v>
      </c>
      <c r="E9" s="21" t="s">
        <v>26</v>
      </c>
      <c r="F9" s="19">
        <v>90.0</v>
      </c>
      <c r="G9" s="21" t="s">
        <v>71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33</v>
      </c>
      <c r="B10" s="18">
        <v>90.0</v>
      </c>
      <c r="C10" s="16" t="s">
        <v>57</v>
      </c>
      <c r="E10" s="21" t="s">
        <v>26</v>
      </c>
      <c r="F10" s="19">
        <v>90.0</v>
      </c>
      <c r="G10" s="21" t="s">
        <v>57</v>
      </c>
      <c r="I10" s="11">
        <v>3.0</v>
      </c>
      <c r="J10" s="11" t="s">
        <v>60</v>
      </c>
      <c r="K10" s="16" t="s">
        <v>20</v>
      </c>
    </row>
    <row r="11" ht="14.25" customHeight="1">
      <c r="A11" s="21" t="s">
        <v>26</v>
      </c>
      <c r="B11" s="19">
        <v>20.0</v>
      </c>
      <c r="C11" s="21" t="s">
        <v>45</v>
      </c>
      <c r="E11" s="21" t="s">
        <v>42</v>
      </c>
      <c r="F11" s="19">
        <v>90.0</v>
      </c>
      <c r="G11" s="21" t="s">
        <v>57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41</v>
      </c>
      <c r="B12" s="18">
        <v>90.0</v>
      </c>
      <c r="C12" s="16" t="s">
        <v>57</v>
      </c>
      <c r="I12" s="11">
        <v>9.0</v>
      </c>
      <c r="J12" s="29" t="s">
        <v>32</v>
      </c>
      <c r="K12" s="16" t="s">
        <v>20</v>
      </c>
    </row>
    <row r="13" ht="14.25" customHeight="1">
      <c r="A13" s="21" t="s">
        <v>59</v>
      </c>
      <c r="B13" s="19">
        <v>20.0</v>
      </c>
      <c r="C13" s="21" t="s">
        <v>62</v>
      </c>
      <c r="I13" s="11">
        <v>10.0</v>
      </c>
      <c r="J13" s="11" t="s">
        <v>69</v>
      </c>
      <c r="K13" s="16" t="s">
        <v>20</v>
      </c>
    </row>
    <row r="14" ht="14.25" customHeight="1">
      <c r="A14" s="21" t="s">
        <v>19</v>
      </c>
      <c r="B14" s="18">
        <v>90.0</v>
      </c>
      <c r="C14" s="16" t="s">
        <v>57</v>
      </c>
      <c r="E14" s="11" t="s">
        <v>46</v>
      </c>
      <c r="F14" s="12">
        <f>SUM(F3:F13)</f>
        <v>390</v>
      </c>
      <c r="I14" s="11">
        <v>11.0</v>
      </c>
      <c r="J14" s="20" t="s">
        <v>80</v>
      </c>
      <c r="K14" s="16" t="s">
        <v>20</v>
      </c>
    </row>
    <row r="15" ht="14.25" customHeight="1">
      <c r="A15" s="21" t="s">
        <v>74</v>
      </c>
      <c r="B15" s="18">
        <v>180.0</v>
      </c>
      <c r="C15" s="16" t="s">
        <v>101</v>
      </c>
      <c r="I15" s="11">
        <v>12.0</v>
      </c>
      <c r="J15" s="11" t="s">
        <v>42</v>
      </c>
      <c r="K15" s="16"/>
    </row>
    <row r="16" ht="14.25" customHeight="1">
      <c r="A16" s="21" t="s">
        <v>69</v>
      </c>
      <c r="B16" s="18">
        <v>90.0</v>
      </c>
      <c r="C16" s="37" t="s">
        <v>57</v>
      </c>
      <c r="D16" s="39"/>
      <c r="I16" s="11">
        <v>14.0</v>
      </c>
      <c r="J16" s="11" t="s">
        <v>74</v>
      </c>
      <c r="K16" s="16" t="s">
        <v>20</v>
      </c>
    </row>
    <row r="17" ht="14.25" customHeight="1">
      <c r="A17" s="21" t="s">
        <v>80</v>
      </c>
      <c r="B17" s="18">
        <v>90.0</v>
      </c>
      <c r="C17" s="16" t="s">
        <v>57</v>
      </c>
      <c r="E17" s="41" t="s">
        <v>107</v>
      </c>
      <c r="F17" s="3"/>
    </row>
    <row r="18" ht="14.25" customHeight="1">
      <c r="A18" s="21" t="s">
        <v>105</v>
      </c>
      <c r="B18" s="18">
        <v>-35.0</v>
      </c>
      <c r="C18" s="21" t="s">
        <v>109</v>
      </c>
      <c r="E18" s="21" t="s">
        <v>110</v>
      </c>
      <c r="F18" s="21" t="s">
        <v>111</v>
      </c>
    </row>
    <row r="19" ht="14.25" customHeight="1">
      <c r="A19" s="26" t="s">
        <v>77</v>
      </c>
      <c r="B19" s="38">
        <v>-950.0</v>
      </c>
      <c r="C19" s="34" t="s">
        <v>113</v>
      </c>
      <c r="E19" s="21" t="s">
        <v>115</v>
      </c>
      <c r="F19" s="21" t="s">
        <v>111</v>
      </c>
    </row>
    <row r="20" ht="14.25" customHeight="1">
      <c r="A20" s="45" t="s">
        <v>67</v>
      </c>
      <c r="B20" s="46">
        <v>-30.0</v>
      </c>
      <c r="C20" s="21" t="s">
        <v>73</v>
      </c>
      <c r="E20" s="21" t="s">
        <v>117</v>
      </c>
      <c r="F20" s="21" t="s">
        <v>111</v>
      </c>
    </row>
    <row r="21" ht="14.25" customHeight="1">
      <c r="A21" s="21" t="s">
        <v>17</v>
      </c>
      <c r="B21" s="19">
        <v>90.0</v>
      </c>
      <c r="C21" s="11" t="s">
        <v>24</v>
      </c>
      <c r="E21" s="21" t="s">
        <v>118</v>
      </c>
      <c r="F21" s="21" t="s">
        <v>111</v>
      </c>
    </row>
    <row r="22" ht="14.25" customHeight="1">
      <c r="A22" s="16" t="s">
        <v>28</v>
      </c>
      <c r="B22" s="19">
        <v>80.0</v>
      </c>
      <c r="C22" s="21" t="s">
        <v>119</v>
      </c>
      <c r="E22" s="21" t="s">
        <v>120</v>
      </c>
      <c r="F22" s="21" t="s">
        <v>111</v>
      </c>
    </row>
    <row r="23" ht="14.25" customHeight="1">
      <c r="A23" s="21" t="s">
        <v>121</v>
      </c>
      <c r="B23" s="19">
        <v>20.0</v>
      </c>
      <c r="C23" s="16" t="s">
        <v>122</v>
      </c>
      <c r="E23" s="21" t="s">
        <v>124</v>
      </c>
      <c r="F23" s="21" t="s">
        <v>111</v>
      </c>
    </row>
    <row r="24" ht="14.25" customHeight="1">
      <c r="A24" s="21" t="s">
        <v>67</v>
      </c>
      <c r="B24" s="19">
        <v>-30.0</v>
      </c>
      <c r="C24" s="16" t="s">
        <v>122</v>
      </c>
      <c r="E24" s="21" t="s">
        <v>128</v>
      </c>
      <c r="F24" s="48" t="s">
        <v>111</v>
      </c>
    </row>
    <row r="25" ht="14.25" customHeight="1">
      <c r="A25" s="22" t="s">
        <v>50</v>
      </c>
      <c r="B25" s="23">
        <v>-30.0</v>
      </c>
      <c r="C25" s="16" t="s">
        <v>122</v>
      </c>
      <c r="E25" s="21" t="s">
        <v>132</v>
      </c>
      <c r="F25" s="21" t="s">
        <v>111</v>
      </c>
    </row>
    <row r="26" ht="14.25" customHeight="1">
      <c r="A26" s="21" t="s">
        <v>32</v>
      </c>
      <c r="B26" s="19">
        <v>90.0</v>
      </c>
      <c r="C26" s="16" t="s">
        <v>57</v>
      </c>
      <c r="E26" s="21" t="s">
        <v>134</v>
      </c>
      <c r="F26" s="21" t="s">
        <v>111</v>
      </c>
    </row>
    <row r="27" ht="14.25" customHeight="1">
      <c r="A27" s="21" t="s">
        <v>135</v>
      </c>
      <c r="B27" s="19">
        <v>20.0</v>
      </c>
      <c r="C27" s="21" t="s">
        <v>66</v>
      </c>
      <c r="E27" s="21" t="s">
        <v>136</v>
      </c>
      <c r="F27" s="21" t="s">
        <v>111</v>
      </c>
    </row>
    <row r="28" ht="14.25" customHeight="1">
      <c r="A28" s="21" t="s">
        <v>50</v>
      </c>
      <c r="B28" s="19">
        <v>-30.0</v>
      </c>
      <c r="C28" s="21" t="s">
        <v>66</v>
      </c>
      <c r="E28" s="21" t="s">
        <v>138</v>
      </c>
      <c r="F28" s="21" t="s">
        <v>111</v>
      </c>
    </row>
    <row r="29" ht="14.25" customHeight="1">
      <c r="A29" s="21" t="s">
        <v>139</v>
      </c>
      <c r="B29" s="19">
        <v>-30.0</v>
      </c>
      <c r="C29" s="21" t="s">
        <v>66</v>
      </c>
      <c r="E29" s="21" t="s">
        <v>142</v>
      </c>
      <c r="F29" s="21" t="s">
        <v>111</v>
      </c>
    </row>
    <row r="30" ht="14.25" customHeight="1">
      <c r="A30" s="21"/>
      <c r="B30" s="21"/>
      <c r="C30" s="21"/>
      <c r="E30" s="21" t="s">
        <v>144</v>
      </c>
      <c r="F30" s="21" t="s">
        <v>111</v>
      </c>
    </row>
    <row r="31" ht="14.25" customHeight="1">
      <c r="A31" s="21"/>
      <c r="B31" s="21"/>
      <c r="C31" s="21"/>
      <c r="E31" s="21" t="s">
        <v>145</v>
      </c>
      <c r="F31" s="21" t="s">
        <v>111</v>
      </c>
    </row>
    <row r="32" ht="14.25" customHeight="1">
      <c r="A32" s="21"/>
      <c r="B32" s="21"/>
      <c r="C32" s="21"/>
      <c r="E32" s="21" t="s">
        <v>146</v>
      </c>
      <c r="F32" s="21" t="s">
        <v>111</v>
      </c>
    </row>
    <row r="33" ht="14.25" customHeight="1">
      <c r="A33" s="51" t="s">
        <v>106</v>
      </c>
      <c r="B33" s="52">
        <f>SUM(B3:B32)</f>
        <v>531.42</v>
      </c>
      <c r="C33" s="51"/>
      <c r="E33" s="21" t="s">
        <v>150</v>
      </c>
      <c r="F33" s="21" t="s">
        <v>111</v>
      </c>
    </row>
    <row r="34" ht="14.25" customHeight="1">
      <c r="B34" s="44"/>
      <c r="E34" s="21" t="s">
        <v>151</v>
      </c>
      <c r="F34" s="21" t="s">
        <v>111</v>
      </c>
    </row>
    <row r="35" ht="14.25" customHeight="1">
      <c r="B35" s="44"/>
      <c r="E35" s="21" t="s">
        <v>152</v>
      </c>
      <c r="F35" s="21" t="s">
        <v>111</v>
      </c>
    </row>
    <row r="36" ht="14.25" customHeight="1">
      <c r="B36" s="44"/>
      <c r="E36" s="21" t="s">
        <v>154</v>
      </c>
      <c r="F36" s="21" t="s">
        <v>111</v>
      </c>
    </row>
    <row r="37" ht="14.25" customHeight="1">
      <c r="B37" s="44"/>
      <c r="E37" s="21" t="s">
        <v>155</v>
      </c>
      <c r="F37" s="21" t="s">
        <v>111</v>
      </c>
    </row>
    <row r="38" ht="14.25" customHeight="1">
      <c r="B38" s="44"/>
      <c r="E38" s="21" t="s">
        <v>156</v>
      </c>
      <c r="F38" s="21" t="s">
        <v>111</v>
      </c>
    </row>
    <row r="39" ht="14.25" customHeight="1">
      <c r="B39" s="44"/>
    </row>
    <row r="40" ht="14.25" customHeight="1">
      <c r="B40" s="44"/>
    </row>
    <row r="41" ht="14.25" customHeight="1">
      <c r="B41" s="44"/>
    </row>
    <row r="42" ht="14.25" customHeight="1">
      <c r="B42" s="44"/>
    </row>
    <row r="43" ht="14.25" customHeight="1">
      <c r="B43" s="44"/>
    </row>
    <row r="44" ht="14.25" customHeight="1">
      <c r="B44" s="44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autoFilter ref="$I$2:$K$2">
    <sortState ref="I2:K2">
      <sortCondition ref="K2"/>
    </sortState>
  </autoFilter>
  <mergeCells count="4">
    <mergeCell ref="A1:C1"/>
    <mergeCell ref="E1:G1"/>
    <mergeCell ref="I1:K1"/>
    <mergeCell ref="E17:F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76.57"/>
    <col customWidth="1" min="4" max="4" width="5.0"/>
    <col customWidth="1" min="5" max="5" width="24.29"/>
    <col customWidth="1" min="6" max="6" width="11.86"/>
    <col customWidth="1" min="7" max="7" width="50.86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158</v>
      </c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531.42</v>
      </c>
      <c r="C3" s="14" t="s">
        <v>160</v>
      </c>
      <c r="E3" s="21" t="s">
        <v>26</v>
      </c>
      <c r="F3" s="19">
        <v>90.0</v>
      </c>
      <c r="G3" s="21" t="s">
        <v>161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42</v>
      </c>
      <c r="B4" s="19">
        <v>90.0</v>
      </c>
      <c r="C4" s="16" t="s">
        <v>57</v>
      </c>
      <c r="E4" s="21" t="s">
        <v>28</v>
      </c>
      <c r="F4" s="19">
        <v>60.0</v>
      </c>
      <c r="G4" s="21" t="s">
        <v>162</v>
      </c>
      <c r="I4" s="11">
        <v>2.0</v>
      </c>
      <c r="J4" s="11" t="s">
        <v>26</v>
      </c>
      <c r="K4" s="11"/>
    </row>
    <row r="5" ht="14.25" customHeight="1">
      <c r="A5" s="21" t="s">
        <v>42</v>
      </c>
      <c r="B5" s="19">
        <v>90.0</v>
      </c>
      <c r="C5" s="16" t="s">
        <v>161</v>
      </c>
      <c r="E5" s="21" t="s">
        <v>32</v>
      </c>
      <c r="F5" s="19">
        <v>90.0</v>
      </c>
      <c r="G5" s="16" t="s">
        <v>161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33</v>
      </c>
      <c r="B6" s="19">
        <v>90.0</v>
      </c>
      <c r="C6" s="16" t="s">
        <v>161</v>
      </c>
      <c r="E6" s="21" t="s">
        <v>74</v>
      </c>
      <c r="F6" s="19">
        <v>90.0</v>
      </c>
      <c r="G6" s="16" t="s">
        <v>161</v>
      </c>
      <c r="I6" s="11">
        <v>6.0</v>
      </c>
      <c r="J6" s="11" t="s">
        <v>39</v>
      </c>
      <c r="K6" s="16" t="s">
        <v>20</v>
      </c>
    </row>
    <row r="7" ht="14.25" customHeight="1">
      <c r="A7" s="21" t="s">
        <v>26</v>
      </c>
      <c r="B7" s="19">
        <v>90.0</v>
      </c>
      <c r="C7" s="21" t="s">
        <v>71</v>
      </c>
      <c r="E7" s="21" t="s">
        <v>75</v>
      </c>
      <c r="F7" s="19">
        <v>20.0</v>
      </c>
      <c r="G7" s="16" t="s">
        <v>163</v>
      </c>
      <c r="I7" s="11">
        <v>7.0</v>
      </c>
      <c r="J7" s="11" t="s">
        <v>41</v>
      </c>
      <c r="K7" s="16" t="s">
        <v>20</v>
      </c>
    </row>
    <row r="8" ht="14.25" customHeight="1">
      <c r="A8" s="21" t="s">
        <v>164</v>
      </c>
      <c r="B8" s="18">
        <v>-30.0</v>
      </c>
      <c r="C8" s="16" t="s">
        <v>165</v>
      </c>
      <c r="E8" s="22" t="s">
        <v>17</v>
      </c>
      <c r="F8" s="23">
        <v>20.0</v>
      </c>
      <c r="G8" s="20" t="s">
        <v>166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116</v>
      </c>
      <c r="B9" s="18">
        <v>-30.0</v>
      </c>
      <c r="C9" s="16" t="s">
        <v>165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35</v>
      </c>
      <c r="B10" s="18">
        <v>20.0</v>
      </c>
      <c r="C10" s="16" t="s">
        <v>167</v>
      </c>
      <c r="I10" s="11">
        <v>3.0</v>
      </c>
      <c r="J10" s="11" t="s">
        <v>60</v>
      </c>
      <c r="K10" s="16" t="s">
        <v>20</v>
      </c>
    </row>
    <row r="11" ht="14.25" customHeight="1">
      <c r="A11" s="21" t="s">
        <v>43</v>
      </c>
      <c r="B11" s="19">
        <v>90.0</v>
      </c>
      <c r="C11" s="16" t="s">
        <v>161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60</v>
      </c>
      <c r="B12" s="19">
        <v>90.0</v>
      </c>
      <c r="C12" s="16" t="s">
        <v>161</v>
      </c>
      <c r="I12" s="11">
        <v>9.0</v>
      </c>
      <c r="J12" s="29" t="s">
        <v>32</v>
      </c>
      <c r="K12" s="16"/>
    </row>
    <row r="13" ht="14.25" customHeight="1">
      <c r="A13" s="21" t="s">
        <v>59</v>
      </c>
      <c r="B13" s="19">
        <v>20.0</v>
      </c>
      <c r="C13" s="21" t="s">
        <v>73</v>
      </c>
      <c r="I13" s="11">
        <v>10.0</v>
      </c>
      <c r="J13" s="11" t="s">
        <v>69</v>
      </c>
      <c r="K13" s="16" t="s">
        <v>20</v>
      </c>
    </row>
    <row r="14" ht="14.25" customHeight="1">
      <c r="A14" s="21" t="s">
        <v>164</v>
      </c>
      <c r="B14" s="18">
        <v>-30.0</v>
      </c>
      <c r="C14" s="16" t="s">
        <v>170</v>
      </c>
      <c r="I14" s="11">
        <v>11.0</v>
      </c>
      <c r="J14" s="20" t="s">
        <v>35</v>
      </c>
      <c r="K14" s="16" t="s">
        <v>20</v>
      </c>
    </row>
    <row r="15" ht="14.25" customHeight="1">
      <c r="A15" s="21" t="s">
        <v>53</v>
      </c>
      <c r="B15" s="18">
        <v>90.0</v>
      </c>
      <c r="C15" s="16" t="s">
        <v>161</v>
      </c>
      <c r="I15" s="11">
        <v>12.0</v>
      </c>
      <c r="J15" s="11" t="s">
        <v>42</v>
      </c>
      <c r="K15" s="16" t="s">
        <v>20</v>
      </c>
    </row>
    <row r="16" ht="14.25" customHeight="1">
      <c r="A16" s="21" t="s">
        <v>39</v>
      </c>
      <c r="B16" s="18">
        <v>90.0</v>
      </c>
      <c r="C16" s="16" t="s">
        <v>161</v>
      </c>
      <c r="D16" s="39"/>
      <c r="E16" s="11" t="s">
        <v>46</v>
      </c>
      <c r="F16" s="12">
        <f>SUM(F3:F15)</f>
        <v>370</v>
      </c>
      <c r="I16" s="11">
        <v>14.0</v>
      </c>
      <c r="J16" s="11" t="s">
        <v>74</v>
      </c>
      <c r="K16" s="16"/>
    </row>
    <row r="17" ht="14.25" customHeight="1">
      <c r="A17" s="21" t="s">
        <v>35</v>
      </c>
      <c r="B17" s="18">
        <v>70.0</v>
      </c>
      <c r="C17" s="16" t="s">
        <v>161</v>
      </c>
    </row>
    <row r="18" ht="14.25" customHeight="1">
      <c r="A18" s="47" t="s">
        <v>64</v>
      </c>
      <c r="B18" s="18">
        <v>90.0</v>
      </c>
      <c r="C18" s="16" t="s">
        <v>161</v>
      </c>
    </row>
    <row r="19" ht="14.25" customHeight="1">
      <c r="A19" s="21" t="s">
        <v>69</v>
      </c>
      <c r="B19" s="18">
        <v>90.0</v>
      </c>
      <c r="C19" s="16" t="s">
        <v>161</v>
      </c>
    </row>
    <row r="20" ht="14.25" customHeight="1">
      <c r="A20" s="26" t="s">
        <v>77</v>
      </c>
      <c r="B20" s="38">
        <v>-950.0</v>
      </c>
      <c r="C20" s="34" t="s">
        <v>177</v>
      </c>
    </row>
    <row r="21" ht="14.25" customHeight="1">
      <c r="A21" s="21" t="s">
        <v>139</v>
      </c>
      <c r="B21" s="19">
        <v>-60.0</v>
      </c>
      <c r="C21" s="16" t="s">
        <v>178</v>
      </c>
    </row>
    <row r="22" ht="14.25" customHeight="1">
      <c r="A22" s="21" t="s">
        <v>179</v>
      </c>
      <c r="B22" s="19">
        <v>30.0</v>
      </c>
      <c r="C22" s="16" t="s">
        <v>170</v>
      </c>
    </row>
    <row r="23" ht="14.25" customHeight="1">
      <c r="A23" s="21" t="s">
        <v>179</v>
      </c>
      <c r="B23" s="19">
        <v>90.0</v>
      </c>
      <c r="C23" s="16" t="s">
        <v>161</v>
      </c>
    </row>
    <row r="24" ht="14.25" customHeight="1">
      <c r="A24" s="21" t="s">
        <v>93</v>
      </c>
      <c r="B24" s="19">
        <v>20.0</v>
      </c>
      <c r="C24" s="16" t="s">
        <v>163</v>
      </c>
      <c r="E24" s="54" t="s">
        <v>182</v>
      </c>
      <c r="F24" s="3"/>
    </row>
    <row r="25" ht="14.25" customHeight="1">
      <c r="A25" s="22" t="s">
        <v>69</v>
      </c>
      <c r="B25" s="23">
        <v>20.0</v>
      </c>
      <c r="C25" s="16" t="s">
        <v>185</v>
      </c>
      <c r="E25" s="21" t="s">
        <v>53</v>
      </c>
      <c r="F25" s="21" t="s">
        <v>20</v>
      </c>
    </row>
    <row r="26" ht="14.25" customHeight="1">
      <c r="A26" s="21" t="s">
        <v>187</v>
      </c>
      <c r="B26" s="19">
        <v>20.0</v>
      </c>
      <c r="C26" s="16" t="s">
        <v>163</v>
      </c>
      <c r="E26" s="21" t="s">
        <v>19</v>
      </c>
      <c r="F26" s="21" t="s">
        <v>20</v>
      </c>
    </row>
    <row r="27" ht="14.25" customHeight="1">
      <c r="A27" s="21" t="s">
        <v>53</v>
      </c>
      <c r="B27" s="19">
        <v>-175.91</v>
      </c>
      <c r="C27" s="16" t="s">
        <v>185</v>
      </c>
      <c r="E27" s="21" t="s">
        <v>26</v>
      </c>
      <c r="F27" s="21" t="s">
        <v>20</v>
      </c>
    </row>
    <row r="28" ht="14.25" customHeight="1">
      <c r="A28" s="21" t="s">
        <v>56</v>
      </c>
      <c r="B28" s="19">
        <v>-30.0</v>
      </c>
      <c r="C28" s="16" t="s">
        <v>163</v>
      </c>
      <c r="E28" s="21" t="s">
        <v>97</v>
      </c>
      <c r="F28" s="21" t="s">
        <v>20</v>
      </c>
    </row>
    <row r="29" ht="14.25" customHeight="1">
      <c r="A29" s="21" t="s">
        <v>53</v>
      </c>
      <c r="B29" s="19">
        <v>20.0</v>
      </c>
      <c r="C29" s="16" t="s">
        <v>185</v>
      </c>
      <c r="E29" s="21" t="s">
        <v>193</v>
      </c>
      <c r="F29" s="21" t="s">
        <v>20</v>
      </c>
    </row>
    <row r="30" ht="14.25" customHeight="1">
      <c r="A30" s="21" t="s">
        <v>41</v>
      </c>
      <c r="B30" s="19">
        <v>90.0</v>
      </c>
      <c r="C30" s="16" t="s">
        <v>161</v>
      </c>
      <c r="E30" s="21" t="s">
        <v>69</v>
      </c>
      <c r="F30" s="21" t="s">
        <v>20</v>
      </c>
    </row>
    <row r="31" ht="14.25" customHeight="1">
      <c r="A31" s="21" t="s">
        <v>41</v>
      </c>
      <c r="B31" s="19">
        <v>20.0</v>
      </c>
      <c r="C31" s="16" t="s">
        <v>196</v>
      </c>
      <c r="E31" s="21" t="s">
        <v>197</v>
      </c>
      <c r="F31" s="50"/>
    </row>
    <row r="32" ht="14.25" customHeight="1">
      <c r="A32" s="21" t="s">
        <v>42</v>
      </c>
      <c r="B32" s="19">
        <v>40.0</v>
      </c>
      <c r="C32" s="16" t="s">
        <v>186</v>
      </c>
    </row>
    <row r="33" ht="14.25" customHeight="1">
      <c r="A33" s="21" t="s">
        <v>179</v>
      </c>
      <c r="B33" s="19">
        <v>40.0</v>
      </c>
      <c r="C33" s="16" t="s">
        <v>186</v>
      </c>
      <c r="E33" s="54" t="s">
        <v>198</v>
      </c>
      <c r="F33" s="3"/>
    </row>
    <row r="34" ht="14.25" customHeight="1">
      <c r="A34" s="21" t="s">
        <v>179</v>
      </c>
      <c r="B34" s="19">
        <v>20.0</v>
      </c>
      <c r="C34" s="16" t="s">
        <v>200</v>
      </c>
      <c r="E34" s="21" t="s">
        <v>53</v>
      </c>
      <c r="F34" s="21" t="s">
        <v>20</v>
      </c>
    </row>
    <row r="35" ht="14.25" customHeight="1">
      <c r="A35" s="21" t="s">
        <v>201</v>
      </c>
      <c r="B35" s="19">
        <v>-106.0</v>
      </c>
      <c r="C35" s="16" t="s">
        <v>186</v>
      </c>
      <c r="E35" s="21" t="s">
        <v>19</v>
      </c>
      <c r="F35" s="21" t="s">
        <v>20</v>
      </c>
    </row>
    <row r="36" ht="14.25" customHeight="1">
      <c r="A36" s="21" t="s">
        <v>67</v>
      </c>
      <c r="B36" s="19">
        <v>-30.0</v>
      </c>
      <c r="C36" s="16" t="s">
        <v>166</v>
      </c>
      <c r="E36" s="21" t="s">
        <v>26</v>
      </c>
      <c r="F36" s="21" t="s">
        <v>20</v>
      </c>
    </row>
    <row r="37" ht="14.25" customHeight="1">
      <c r="A37" s="21" t="s">
        <v>33</v>
      </c>
      <c r="B37" s="19">
        <v>20.0</v>
      </c>
      <c r="C37" s="16" t="s">
        <v>196</v>
      </c>
      <c r="E37" s="21" t="s">
        <v>97</v>
      </c>
      <c r="F37" s="21" t="s">
        <v>20</v>
      </c>
    </row>
    <row r="38" ht="14.25" customHeight="1">
      <c r="A38" s="21" t="s">
        <v>164</v>
      </c>
      <c r="B38" s="19">
        <v>-30.0</v>
      </c>
      <c r="C38" s="16" t="s">
        <v>207</v>
      </c>
      <c r="E38" s="21" t="s">
        <v>193</v>
      </c>
      <c r="F38" s="21" t="s">
        <v>20</v>
      </c>
    </row>
    <row r="39" ht="14.25" customHeight="1">
      <c r="A39" s="21" t="s">
        <v>53</v>
      </c>
      <c r="B39" s="19">
        <v>20.0</v>
      </c>
      <c r="C39" s="16" t="s">
        <v>196</v>
      </c>
      <c r="E39" s="21" t="s">
        <v>69</v>
      </c>
      <c r="F39" s="21" t="s">
        <v>20</v>
      </c>
    </row>
    <row r="40" ht="14.25" customHeight="1">
      <c r="A40" s="21" t="s">
        <v>209</v>
      </c>
      <c r="B40" s="19">
        <v>20.0</v>
      </c>
      <c r="C40" s="16" t="s">
        <v>166</v>
      </c>
      <c r="E40" s="21" t="s">
        <v>197</v>
      </c>
      <c r="F40" s="50"/>
    </row>
    <row r="41" ht="14.25" customHeight="1">
      <c r="A41" s="21" t="s">
        <v>26</v>
      </c>
      <c r="B41" s="19">
        <v>90.0</v>
      </c>
      <c r="C41" s="16" t="s">
        <v>161</v>
      </c>
      <c r="E41" s="19" t="s">
        <v>209</v>
      </c>
      <c r="F41" s="19" t="s">
        <v>20</v>
      </c>
    </row>
    <row r="42" ht="14.25" customHeight="1">
      <c r="A42" s="21" t="s">
        <v>97</v>
      </c>
      <c r="B42" s="19">
        <v>40.0</v>
      </c>
      <c r="C42" s="16" t="s">
        <v>186</v>
      </c>
      <c r="E42" s="19" t="s">
        <v>41</v>
      </c>
      <c r="F42" s="19" t="s">
        <v>20</v>
      </c>
    </row>
    <row r="43" ht="14.25" customHeight="1">
      <c r="A43" s="21" t="s">
        <v>43</v>
      </c>
      <c r="B43" s="19">
        <v>20.0</v>
      </c>
      <c r="C43" s="16" t="s">
        <v>196</v>
      </c>
      <c r="E43" s="19" t="s">
        <v>217</v>
      </c>
      <c r="F43" s="56"/>
    </row>
    <row r="44" ht="14.25" customHeight="1">
      <c r="A44" s="21"/>
      <c r="B44" s="21"/>
      <c r="C44" s="21"/>
      <c r="E44" s="19" t="s">
        <v>33</v>
      </c>
      <c r="F44" s="19" t="s">
        <v>20</v>
      </c>
    </row>
    <row r="45" ht="14.25" customHeight="1">
      <c r="A45" s="21"/>
      <c r="B45" s="21"/>
      <c r="C45" s="21"/>
      <c r="E45" s="21" t="s">
        <v>43</v>
      </c>
      <c r="F45" s="21" t="s">
        <v>20</v>
      </c>
    </row>
    <row r="46" ht="14.25" customHeight="1">
      <c r="A46" s="21"/>
      <c r="B46" s="21"/>
      <c r="C46" s="21"/>
    </row>
    <row r="47" ht="14.25" customHeight="1">
      <c r="A47" s="21"/>
      <c r="B47" s="21"/>
      <c r="C47" s="21"/>
    </row>
    <row r="48" ht="14.25" customHeight="1">
      <c r="A48" s="21"/>
      <c r="B48" s="21"/>
      <c r="C48" s="21"/>
    </row>
    <row r="49" ht="14.25" customHeight="1">
      <c r="A49" s="21"/>
      <c r="B49" s="21"/>
      <c r="C49" s="21"/>
    </row>
    <row r="50" ht="14.25" customHeight="1">
      <c r="A50" s="21"/>
      <c r="B50" s="21"/>
      <c r="C50" s="21"/>
    </row>
    <row r="51" ht="14.25" customHeight="1">
      <c r="A51" s="51" t="s">
        <v>106</v>
      </c>
      <c r="B51" s="52">
        <f>SUM(B3:B50)</f>
        <v>689.51</v>
      </c>
      <c r="C51" s="51"/>
    </row>
    <row r="52" ht="14.25" customHeight="1">
      <c r="B52" s="44"/>
    </row>
    <row r="53" ht="14.25" customHeight="1">
      <c r="B53" s="44"/>
    </row>
    <row r="54" ht="14.25" customHeight="1">
      <c r="A54" s="59" t="s">
        <v>230</v>
      </c>
      <c r="B54" s="60">
        <v>140.0</v>
      </c>
      <c r="C54" s="59" t="s">
        <v>232</v>
      </c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/>
    <row r="1010" ht="14.25" customHeight="1"/>
    <row r="1011" ht="14.25" customHeight="1"/>
  </sheetData>
  <autoFilter ref="$I$2:$K$2">
    <sortState ref="I2:K2">
      <sortCondition ref="K2"/>
    </sortState>
  </autoFilter>
  <mergeCells count="5">
    <mergeCell ref="A1:C1"/>
    <mergeCell ref="E1:G1"/>
    <mergeCell ref="I1:K1"/>
    <mergeCell ref="E24:F24"/>
    <mergeCell ref="E33:F33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76.57"/>
    <col customWidth="1" min="4" max="4" width="5.0"/>
    <col customWidth="1" min="5" max="5" width="24.29"/>
    <col customWidth="1" min="6" max="6" width="11.86"/>
    <col customWidth="1" min="7" max="7" width="100.57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168</v>
      </c>
      <c r="B1" s="2"/>
      <c r="C1" s="3"/>
      <c r="E1" s="4" t="s">
        <v>1</v>
      </c>
      <c r="F1" s="2"/>
      <c r="G1" s="3"/>
      <c r="I1" s="1" t="s">
        <v>169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689.51</v>
      </c>
      <c r="C3" s="14" t="s">
        <v>171</v>
      </c>
      <c r="E3" s="21" t="s">
        <v>26</v>
      </c>
      <c r="F3" s="19">
        <v>200.0</v>
      </c>
      <c r="G3" s="21" t="s">
        <v>172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173</v>
      </c>
      <c r="B4" s="19">
        <v>20.0</v>
      </c>
      <c r="C4" s="16" t="s">
        <v>174</v>
      </c>
      <c r="E4" s="21" t="s">
        <v>28</v>
      </c>
      <c r="F4" s="19">
        <v>40.0</v>
      </c>
      <c r="G4" s="21" t="s">
        <v>175</v>
      </c>
      <c r="I4" s="11">
        <v>2.0</v>
      </c>
      <c r="J4" s="11" t="s">
        <v>26</v>
      </c>
      <c r="K4" s="11"/>
    </row>
    <row r="5" ht="14.25" customHeight="1">
      <c r="A5" s="21" t="s">
        <v>176</v>
      </c>
      <c r="B5" s="19">
        <v>20.0</v>
      </c>
      <c r="C5" s="16" t="s">
        <v>174</v>
      </c>
      <c r="E5" s="21" t="s">
        <v>75</v>
      </c>
      <c r="F5" s="19">
        <v>20.0</v>
      </c>
      <c r="G5" s="16" t="s">
        <v>163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65</v>
      </c>
      <c r="B6" s="19">
        <v>-30.0</v>
      </c>
      <c r="C6" s="16" t="s">
        <v>174</v>
      </c>
      <c r="E6" s="21" t="s">
        <v>180</v>
      </c>
      <c r="F6" s="19">
        <v>20.0</v>
      </c>
      <c r="G6" s="16" t="s">
        <v>181</v>
      </c>
      <c r="I6" s="11">
        <v>6.0</v>
      </c>
      <c r="J6" s="11" t="s">
        <v>39</v>
      </c>
      <c r="K6" s="16" t="s">
        <v>20</v>
      </c>
    </row>
    <row r="7" ht="14.25" customHeight="1">
      <c r="A7" s="21" t="s">
        <v>116</v>
      </c>
      <c r="B7" s="19">
        <v>-30.0</v>
      </c>
      <c r="C7" s="16" t="s">
        <v>174</v>
      </c>
      <c r="E7" s="21" t="s">
        <v>85</v>
      </c>
      <c r="F7" s="19">
        <v>20.0</v>
      </c>
      <c r="G7" s="16" t="s">
        <v>181</v>
      </c>
      <c r="I7" s="11">
        <v>7.0</v>
      </c>
      <c r="J7" s="16" t="s">
        <v>183</v>
      </c>
      <c r="K7" s="16" t="s">
        <v>20</v>
      </c>
    </row>
    <row r="8" ht="14.25" customHeight="1">
      <c r="A8" s="21" t="s">
        <v>184</v>
      </c>
      <c r="B8" s="18">
        <v>40.0</v>
      </c>
      <c r="C8" s="16" t="s">
        <v>186</v>
      </c>
      <c r="E8" s="21" t="s">
        <v>32</v>
      </c>
      <c r="F8" s="19">
        <v>90.0</v>
      </c>
      <c r="G8" s="21" t="s">
        <v>188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33</v>
      </c>
      <c r="B9" s="18">
        <v>90.0</v>
      </c>
      <c r="C9" s="16" t="s">
        <v>188</v>
      </c>
      <c r="E9" s="21" t="s">
        <v>179</v>
      </c>
      <c r="F9" s="19">
        <v>40.0</v>
      </c>
      <c r="G9" s="16" t="s">
        <v>190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97</v>
      </c>
      <c r="B10" s="18">
        <v>90.0</v>
      </c>
      <c r="C10" s="16" t="s">
        <v>188</v>
      </c>
      <c r="E10" s="21" t="s">
        <v>41</v>
      </c>
      <c r="F10" s="19">
        <v>20.0</v>
      </c>
      <c r="G10" s="21" t="s">
        <v>195</v>
      </c>
      <c r="I10" s="11">
        <v>3.0</v>
      </c>
      <c r="J10" s="11" t="s">
        <v>60</v>
      </c>
      <c r="K10" s="16" t="s">
        <v>20</v>
      </c>
    </row>
    <row r="11" ht="14.25" customHeight="1">
      <c r="A11" s="21" t="s">
        <v>53</v>
      </c>
      <c r="B11" s="18">
        <v>90.0</v>
      </c>
      <c r="C11" s="16" t="s">
        <v>188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60</v>
      </c>
      <c r="B12" s="18">
        <v>90.0</v>
      </c>
      <c r="C12" s="16" t="s">
        <v>188</v>
      </c>
      <c r="E12" s="11" t="s">
        <v>46</v>
      </c>
      <c r="F12" s="12">
        <f>SUM(F3:F11)</f>
        <v>450</v>
      </c>
      <c r="I12" s="11">
        <v>9.0</v>
      </c>
      <c r="J12" s="29" t="s">
        <v>32</v>
      </c>
      <c r="K12" s="16"/>
    </row>
    <row r="13" ht="14.25" customHeight="1">
      <c r="A13" s="21" t="s">
        <v>32</v>
      </c>
      <c r="B13" s="19">
        <v>90.0</v>
      </c>
      <c r="C13" s="21" t="s">
        <v>161</v>
      </c>
      <c r="I13" s="11">
        <v>10.0</v>
      </c>
      <c r="J13" s="11" t="s">
        <v>69</v>
      </c>
      <c r="K13" s="16" t="s">
        <v>20</v>
      </c>
    </row>
    <row r="14" ht="14.25" customHeight="1">
      <c r="A14" s="21" t="s">
        <v>90</v>
      </c>
      <c r="B14" s="18">
        <v>90.0</v>
      </c>
      <c r="C14" s="16" t="s">
        <v>188</v>
      </c>
      <c r="I14" s="11">
        <v>11.0</v>
      </c>
      <c r="J14" s="20" t="s">
        <v>210</v>
      </c>
      <c r="K14" s="16" t="s">
        <v>210</v>
      </c>
    </row>
    <row r="15" ht="14.25" customHeight="1">
      <c r="A15" s="21" t="s">
        <v>67</v>
      </c>
      <c r="B15" s="18">
        <v>-30.0</v>
      </c>
      <c r="C15" s="16" t="s">
        <v>181</v>
      </c>
      <c r="E15" s="54" t="s">
        <v>182</v>
      </c>
      <c r="F15" s="3"/>
      <c r="I15" s="11">
        <v>12.0</v>
      </c>
      <c r="J15" s="11" t="s">
        <v>42</v>
      </c>
      <c r="K15" s="16" t="s">
        <v>20</v>
      </c>
    </row>
    <row r="16" ht="14.25" customHeight="1">
      <c r="A16" s="21" t="s">
        <v>126</v>
      </c>
      <c r="B16" s="18">
        <v>20.0</v>
      </c>
      <c r="C16" s="16" t="s">
        <v>181</v>
      </c>
      <c r="D16" s="39"/>
      <c r="E16" s="21" t="s">
        <v>53</v>
      </c>
      <c r="F16" s="21" t="s">
        <v>20</v>
      </c>
      <c r="I16" s="11">
        <v>14.0</v>
      </c>
      <c r="J16" s="11" t="s">
        <v>74</v>
      </c>
      <c r="K16" s="55" t="s">
        <v>20</v>
      </c>
    </row>
    <row r="17" ht="14.25" customHeight="1">
      <c r="A17" s="21" t="s">
        <v>42</v>
      </c>
      <c r="B17" s="18">
        <v>90.0</v>
      </c>
      <c r="C17" s="16" t="s">
        <v>188</v>
      </c>
      <c r="E17" s="21" t="s">
        <v>19</v>
      </c>
      <c r="F17" s="21" t="s">
        <v>20</v>
      </c>
      <c r="K17" s="57"/>
    </row>
    <row r="18" ht="14.25" customHeight="1">
      <c r="A18" s="47" t="s">
        <v>69</v>
      </c>
      <c r="B18" s="18">
        <v>90.0</v>
      </c>
      <c r="C18" s="16" t="s">
        <v>188</v>
      </c>
      <c r="E18" s="21" t="s">
        <v>26</v>
      </c>
      <c r="F18" s="21" t="s">
        <v>20</v>
      </c>
    </row>
    <row r="19" ht="14.25" customHeight="1">
      <c r="A19" s="21" t="s">
        <v>39</v>
      </c>
      <c r="B19" s="18">
        <v>90.0</v>
      </c>
      <c r="C19" s="16" t="s">
        <v>188</v>
      </c>
      <c r="E19" s="21" t="s">
        <v>97</v>
      </c>
      <c r="F19" s="21" t="s">
        <v>20</v>
      </c>
    </row>
    <row r="20" ht="14.25" customHeight="1">
      <c r="A20" s="45" t="s">
        <v>17</v>
      </c>
      <c r="B20" s="46">
        <v>50.0</v>
      </c>
      <c r="C20" s="20" t="s">
        <v>188</v>
      </c>
      <c r="E20" s="21" t="s">
        <v>193</v>
      </c>
      <c r="F20" s="21" t="s">
        <v>20</v>
      </c>
    </row>
    <row r="21" ht="14.25" customHeight="1">
      <c r="A21" s="26" t="s">
        <v>77</v>
      </c>
      <c r="B21" s="38">
        <v>-950.0</v>
      </c>
      <c r="C21" s="34" t="s">
        <v>224</v>
      </c>
      <c r="E21" s="21" t="s">
        <v>69</v>
      </c>
      <c r="F21" s="21" t="s">
        <v>20</v>
      </c>
    </row>
    <row r="22" ht="14.25" customHeight="1">
      <c r="A22" s="21" t="s">
        <v>209</v>
      </c>
      <c r="B22" s="19">
        <v>80.0</v>
      </c>
      <c r="C22" s="16" t="s">
        <v>227</v>
      </c>
      <c r="E22" s="21" t="s">
        <v>197</v>
      </c>
      <c r="F22" s="21" t="s">
        <v>20</v>
      </c>
    </row>
    <row r="23" ht="14.25" customHeight="1">
      <c r="A23" s="21" t="s">
        <v>97</v>
      </c>
      <c r="B23" s="19">
        <v>20.0</v>
      </c>
      <c r="C23" s="16" t="s">
        <v>229</v>
      </c>
    </row>
    <row r="24" ht="14.25" customHeight="1">
      <c r="A24" s="21" t="s">
        <v>53</v>
      </c>
      <c r="B24" s="19">
        <v>20.0</v>
      </c>
      <c r="C24" s="16" t="s">
        <v>229</v>
      </c>
      <c r="E24" s="54" t="s">
        <v>198</v>
      </c>
      <c r="F24" s="3"/>
    </row>
    <row r="25" ht="14.25" customHeight="1">
      <c r="A25" s="22" t="s">
        <v>42</v>
      </c>
      <c r="B25" s="19">
        <v>20.0</v>
      </c>
      <c r="C25" s="16" t="s">
        <v>229</v>
      </c>
      <c r="E25" s="21" t="s">
        <v>53</v>
      </c>
      <c r="F25" s="21" t="s">
        <v>20</v>
      </c>
    </row>
    <row r="26" ht="14.25" customHeight="1">
      <c r="A26" s="21" t="s">
        <v>56</v>
      </c>
      <c r="B26" s="19">
        <v>-30.0</v>
      </c>
      <c r="C26" s="16" t="s">
        <v>233</v>
      </c>
      <c r="E26" s="21" t="s">
        <v>19</v>
      </c>
      <c r="F26" s="21" t="s">
        <v>20</v>
      </c>
    </row>
    <row r="27" ht="14.25" customHeight="1">
      <c r="A27" s="21" t="s">
        <v>43</v>
      </c>
      <c r="B27" s="19">
        <v>110.0</v>
      </c>
      <c r="C27" s="16" t="s">
        <v>236</v>
      </c>
      <c r="E27" s="21" t="s">
        <v>26</v>
      </c>
      <c r="F27" s="21" t="s">
        <v>20</v>
      </c>
    </row>
    <row r="28" ht="14.25" customHeight="1">
      <c r="A28" s="21" t="s">
        <v>60</v>
      </c>
      <c r="B28" s="19">
        <v>-160.0</v>
      </c>
      <c r="C28" s="16" t="s">
        <v>229</v>
      </c>
      <c r="E28" s="21" t="s">
        <v>97</v>
      </c>
      <c r="F28" s="21" t="s">
        <v>20</v>
      </c>
    </row>
    <row r="29" ht="14.25" customHeight="1">
      <c r="A29" s="21" t="s">
        <v>53</v>
      </c>
      <c r="B29" s="19">
        <v>-210.0</v>
      </c>
      <c r="C29" s="16" t="s">
        <v>240</v>
      </c>
      <c r="E29" s="21" t="s">
        <v>193</v>
      </c>
      <c r="F29" s="21" t="s">
        <v>20</v>
      </c>
    </row>
    <row r="30" ht="14.25" customHeight="1">
      <c r="A30" s="21" t="s">
        <v>41</v>
      </c>
      <c r="B30" s="19">
        <v>20.0</v>
      </c>
      <c r="C30" s="16" t="s">
        <v>229</v>
      </c>
      <c r="E30" s="21" t="s">
        <v>69</v>
      </c>
      <c r="F30" s="21" t="s">
        <v>20</v>
      </c>
    </row>
    <row r="31" ht="14.25" customHeight="1">
      <c r="A31" s="21" t="s">
        <v>28</v>
      </c>
      <c r="B31" s="19">
        <v>100.0</v>
      </c>
      <c r="C31" s="61" t="s">
        <v>242</v>
      </c>
      <c r="E31" s="21" t="s">
        <v>197</v>
      </c>
      <c r="F31" s="21" t="s">
        <v>20</v>
      </c>
    </row>
    <row r="32" ht="14.25" customHeight="1">
      <c r="A32" s="21" t="s">
        <v>243</v>
      </c>
      <c r="B32" s="19">
        <v>20.0</v>
      </c>
      <c r="C32" s="16" t="s">
        <v>244</v>
      </c>
      <c r="E32" s="19" t="s">
        <v>209</v>
      </c>
      <c r="F32" s="19" t="s">
        <v>20</v>
      </c>
    </row>
    <row r="33" ht="14.25" customHeight="1">
      <c r="A33" s="21" t="s">
        <v>65</v>
      </c>
      <c r="B33" s="19">
        <v>-30.0</v>
      </c>
      <c r="C33" s="16" t="s">
        <v>244</v>
      </c>
      <c r="E33" s="19" t="s">
        <v>41</v>
      </c>
      <c r="F33" s="19" t="s">
        <v>20</v>
      </c>
    </row>
    <row r="34" ht="14.25" customHeight="1">
      <c r="A34" s="21" t="s">
        <v>116</v>
      </c>
      <c r="B34" s="19">
        <v>-30.0</v>
      </c>
      <c r="C34" s="16" t="s">
        <v>244</v>
      </c>
      <c r="E34" s="19" t="s">
        <v>217</v>
      </c>
      <c r="F34" s="19" t="s">
        <v>20</v>
      </c>
    </row>
    <row r="35" ht="14.25" customHeight="1">
      <c r="A35" s="21" t="s">
        <v>246</v>
      </c>
      <c r="B35" s="19">
        <v>-35.0</v>
      </c>
      <c r="C35" s="16" t="s">
        <v>229</v>
      </c>
      <c r="E35" s="19" t="s">
        <v>33</v>
      </c>
      <c r="F35" s="19" t="s">
        <v>20</v>
      </c>
    </row>
    <row r="36" ht="14.25" customHeight="1">
      <c r="A36" s="21" t="s">
        <v>69</v>
      </c>
      <c r="B36" s="19">
        <v>20.0</v>
      </c>
      <c r="C36" s="16" t="s">
        <v>250</v>
      </c>
      <c r="E36" s="21" t="s">
        <v>43</v>
      </c>
      <c r="F36" s="21" t="s">
        <v>20</v>
      </c>
    </row>
    <row r="37" ht="14.25" customHeight="1">
      <c r="A37" s="21" t="s">
        <v>42</v>
      </c>
      <c r="B37" s="19">
        <v>20.0</v>
      </c>
      <c r="C37" s="16" t="s">
        <v>250</v>
      </c>
    </row>
    <row r="38" ht="14.25" customHeight="1">
      <c r="A38" s="21" t="s">
        <v>74</v>
      </c>
      <c r="B38" s="19">
        <v>180.0</v>
      </c>
      <c r="C38" s="16" t="s">
        <v>252</v>
      </c>
      <c r="E38" s="54" t="s">
        <v>229</v>
      </c>
      <c r="F38" s="3"/>
    </row>
    <row r="39" ht="14.25" customHeight="1">
      <c r="A39" s="21" t="s">
        <v>80</v>
      </c>
      <c r="B39" s="19">
        <v>20.0</v>
      </c>
      <c r="C39" s="16" t="s">
        <v>244</v>
      </c>
      <c r="E39" s="21" t="s">
        <v>53</v>
      </c>
      <c r="F39" s="21" t="s">
        <v>20</v>
      </c>
    </row>
    <row r="40" ht="14.25" customHeight="1">
      <c r="A40" s="21" t="s">
        <v>60</v>
      </c>
      <c r="B40" s="19">
        <v>-180.0</v>
      </c>
      <c r="C40" s="16" t="s">
        <v>250</v>
      </c>
      <c r="E40" s="21" t="s">
        <v>19</v>
      </c>
      <c r="F40" s="50"/>
    </row>
    <row r="41" ht="14.25" customHeight="1">
      <c r="A41" s="21" t="s">
        <v>33</v>
      </c>
      <c r="B41" s="19">
        <v>20.0</v>
      </c>
      <c r="C41" s="16" t="s">
        <v>229</v>
      </c>
      <c r="E41" s="21" t="s">
        <v>209</v>
      </c>
      <c r="F41" s="21" t="s">
        <v>20</v>
      </c>
    </row>
    <row r="42" ht="14.25" customHeight="1">
      <c r="A42" s="21" t="s">
        <v>43</v>
      </c>
      <c r="B42" s="19">
        <v>20.0</v>
      </c>
      <c r="C42" s="21" t="s">
        <v>195</v>
      </c>
      <c r="E42" s="21" t="s">
        <v>257</v>
      </c>
      <c r="F42" s="21" t="s">
        <v>20</v>
      </c>
    </row>
    <row r="43" ht="14.25" customHeight="1">
      <c r="A43" s="21" t="s">
        <v>97</v>
      </c>
      <c r="B43" s="19">
        <v>60.0</v>
      </c>
      <c r="C43" s="16" t="s">
        <v>262</v>
      </c>
      <c r="E43" s="21" t="s">
        <v>97</v>
      </c>
      <c r="F43" s="21" t="s">
        <v>20</v>
      </c>
    </row>
    <row r="44" ht="14.25" customHeight="1">
      <c r="A44" s="21"/>
      <c r="B44" s="21"/>
      <c r="C44" s="21"/>
      <c r="E44" s="21" t="s">
        <v>42</v>
      </c>
      <c r="F44" s="21" t="s">
        <v>20</v>
      </c>
    </row>
    <row r="45" ht="14.25" customHeight="1">
      <c r="A45" s="21"/>
      <c r="B45" s="21"/>
      <c r="C45" s="21"/>
      <c r="E45" s="21" t="s">
        <v>60</v>
      </c>
      <c r="F45" s="21" t="s">
        <v>20</v>
      </c>
    </row>
    <row r="46" ht="14.25" customHeight="1">
      <c r="A46" s="21"/>
      <c r="B46" s="21"/>
      <c r="C46" s="21"/>
      <c r="E46" s="21" t="s">
        <v>41</v>
      </c>
      <c r="F46" s="21" t="s">
        <v>20</v>
      </c>
    </row>
    <row r="47" ht="14.25" customHeight="1">
      <c r="A47" s="21"/>
      <c r="B47" s="21"/>
      <c r="C47" s="21"/>
      <c r="E47" s="21" t="s">
        <v>26</v>
      </c>
      <c r="F47" s="21" t="s">
        <v>20</v>
      </c>
    </row>
    <row r="48" ht="14.25" customHeight="1">
      <c r="A48" s="21"/>
      <c r="B48" s="21"/>
      <c r="C48" s="21"/>
      <c r="E48" s="21" t="s">
        <v>33</v>
      </c>
      <c r="F48" s="21" t="s">
        <v>20</v>
      </c>
    </row>
    <row r="49" ht="14.25" customHeight="1">
      <c r="A49" s="21"/>
      <c r="B49" s="21"/>
      <c r="C49" s="21"/>
      <c r="E49" s="21" t="s">
        <v>43</v>
      </c>
      <c r="F49" s="21" t="s">
        <v>20</v>
      </c>
    </row>
    <row r="50" ht="14.25" customHeight="1">
      <c r="A50" s="21"/>
      <c r="B50" s="21"/>
      <c r="C50" s="21"/>
    </row>
    <row r="51" ht="14.25" customHeight="1">
      <c r="A51" s="51" t="s">
        <v>106</v>
      </c>
      <c r="B51" s="52">
        <f>SUM(B3:B50)</f>
        <v>664.51</v>
      </c>
      <c r="C51" s="51"/>
      <c r="E51" s="54" t="s">
        <v>250</v>
      </c>
      <c r="F51" s="3"/>
    </row>
    <row r="52" ht="14.25" customHeight="1">
      <c r="B52" s="44"/>
      <c r="E52" s="21" t="s">
        <v>102</v>
      </c>
      <c r="F52" s="21" t="s">
        <v>20</v>
      </c>
    </row>
    <row r="53" ht="14.25" customHeight="1">
      <c r="B53" s="44"/>
      <c r="E53" s="21" t="s">
        <v>19</v>
      </c>
      <c r="F53" s="50"/>
    </row>
    <row r="54" ht="14.25" customHeight="1">
      <c r="A54" s="59" t="s">
        <v>230</v>
      </c>
      <c r="B54" s="60">
        <v>160.0</v>
      </c>
      <c r="C54" s="59" t="s">
        <v>270</v>
      </c>
      <c r="E54" s="21" t="s">
        <v>97</v>
      </c>
      <c r="F54" s="21" t="s">
        <v>20</v>
      </c>
    </row>
    <row r="55" ht="14.25" customHeight="1">
      <c r="B55" s="44"/>
      <c r="E55" s="21" t="s">
        <v>42</v>
      </c>
      <c r="F55" s="21" t="s">
        <v>20</v>
      </c>
    </row>
    <row r="56" ht="14.25" customHeight="1">
      <c r="B56" s="44"/>
      <c r="E56" s="21" t="s">
        <v>60</v>
      </c>
      <c r="F56" s="21" t="s">
        <v>20</v>
      </c>
    </row>
    <row r="57" ht="14.25" customHeight="1">
      <c r="B57" s="44"/>
      <c r="E57" s="21" t="s">
        <v>41</v>
      </c>
      <c r="F57" s="21"/>
    </row>
    <row r="58" ht="14.25" customHeight="1">
      <c r="B58" s="44"/>
      <c r="E58" s="21" t="s">
        <v>26</v>
      </c>
      <c r="F58" s="21"/>
    </row>
    <row r="59" ht="14.25" customHeight="1">
      <c r="B59" s="44"/>
      <c r="E59" s="21" t="s">
        <v>43</v>
      </c>
      <c r="F59" s="21" t="s">
        <v>20</v>
      </c>
    </row>
    <row r="60" ht="14.25" customHeight="1">
      <c r="B60" s="44"/>
      <c r="E60" s="21" t="s">
        <v>69</v>
      </c>
      <c r="F60" s="21" t="s">
        <v>20</v>
      </c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/>
    <row r="1010" ht="14.25" customHeight="1"/>
    <row r="1011" ht="14.25" customHeight="1"/>
  </sheetData>
  <autoFilter ref="$I$2:$K$2">
    <sortState ref="I2:K2">
      <sortCondition descending="1" ref="I2"/>
      <sortCondition ref="K2"/>
    </sortState>
  </autoFilter>
  <mergeCells count="7">
    <mergeCell ref="A1:C1"/>
    <mergeCell ref="E1:G1"/>
    <mergeCell ref="I1:K1"/>
    <mergeCell ref="E15:F15"/>
    <mergeCell ref="E24:F24"/>
    <mergeCell ref="E38:F38"/>
    <mergeCell ref="E51:F5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76.57"/>
    <col customWidth="1" min="4" max="4" width="5.0"/>
    <col customWidth="1" min="5" max="5" width="24.29"/>
    <col customWidth="1" min="6" max="6" width="11.86"/>
    <col customWidth="1" min="7" max="7" width="100.57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189</v>
      </c>
      <c r="B1" s="2"/>
      <c r="C1" s="3"/>
      <c r="E1" s="4" t="s">
        <v>1</v>
      </c>
      <c r="F1" s="2"/>
      <c r="G1" s="3"/>
      <c r="I1" s="1" t="s">
        <v>192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664.51</v>
      </c>
      <c r="C3" s="14" t="s">
        <v>203</v>
      </c>
      <c r="E3" s="21" t="s">
        <v>28</v>
      </c>
      <c r="F3" s="19">
        <v>60.0</v>
      </c>
      <c r="G3" s="21" t="s">
        <v>205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53</v>
      </c>
      <c r="B4" s="19">
        <v>90.0</v>
      </c>
      <c r="C4" s="16" t="s">
        <v>211</v>
      </c>
      <c r="E4" s="21" t="s">
        <v>75</v>
      </c>
      <c r="F4" s="19">
        <v>20.0</v>
      </c>
      <c r="G4" s="16" t="s">
        <v>163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19</v>
      </c>
      <c r="B5" s="19">
        <v>90.0</v>
      </c>
      <c r="C5" s="16" t="s">
        <v>211</v>
      </c>
      <c r="E5" s="21" t="s">
        <v>180</v>
      </c>
      <c r="F5" s="19">
        <v>20.0</v>
      </c>
      <c r="G5" s="16" t="s">
        <v>181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19</v>
      </c>
      <c r="B6" s="19">
        <v>60.0</v>
      </c>
      <c r="C6" s="16" t="s">
        <v>215</v>
      </c>
      <c r="E6" s="21" t="s">
        <v>32</v>
      </c>
      <c r="F6" s="19">
        <v>180.0</v>
      </c>
      <c r="G6" s="21" t="s">
        <v>216</v>
      </c>
      <c r="I6" s="11">
        <v>6.0</v>
      </c>
      <c r="J6" s="11" t="s">
        <v>39</v>
      </c>
      <c r="K6" s="16" t="s">
        <v>20</v>
      </c>
    </row>
    <row r="7" ht="14.25" customHeight="1">
      <c r="A7" s="21" t="s">
        <v>33</v>
      </c>
      <c r="B7" s="19">
        <v>90.0</v>
      </c>
      <c r="C7" s="16" t="s">
        <v>211</v>
      </c>
      <c r="E7" s="21" t="s">
        <v>17</v>
      </c>
      <c r="F7" s="19">
        <v>50.0</v>
      </c>
      <c r="G7" s="21" t="s">
        <v>211</v>
      </c>
      <c r="I7" s="11">
        <v>7.0</v>
      </c>
      <c r="J7" s="16" t="s">
        <v>183</v>
      </c>
      <c r="K7" s="16"/>
    </row>
    <row r="8" ht="14.25" customHeight="1">
      <c r="A8" s="21" t="s">
        <v>42</v>
      </c>
      <c r="B8" s="19">
        <v>90.0</v>
      </c>
      <c r="C8" s="16" t="s">
        <v>211</v>
      </c>
      <c r="E8" s="21" t="s">
        <v>74</v>
      </c>
      <c r="F8" s="19">
        <v>90.0</v>
      </c>
      <c r="G8" s="21" t="s">
        <v>211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222</v>
      </c>
      <c r="B9" s="18">
        <v>-35.0</v>
      </c>
      <c r="C9" s="58" t="s">
        <v>195</v>
      </c>
      <c r="E9" s="21" t="s">
        <v>213</v>
      </c>
      <c r="F9" s="19">
        <v>20.0</v>
      </c>
      <c r="G9" s="21" t="s">
        <v>214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116</v>
      </c>
      <c r="B10" s="18">
        <v>-30.0</v>
      </c>
      <c r="C10" s="16" t="s">
        <v>226</v>
      </c>
      <c r="E10" s="21" t="s">
        <v>41</v>
      </c>
      <c r="F10" s="19">
        <v>20.0</v>
      </c>
      <c r="G10" s="21" t="s">
        <v>214</v>
      </c>
      <c r="I10" s="11">
        <v>3.0</v>
      </c>
      <c r="J10" s="11" t="s">
        <v>60</v>
      </c>
      <c r="K10" s="16" t="s">
        <v>20</v>
      </c>
    </row>
    <row r="11" ht="14.25" customHeight="1">
      <c r="A11" s="21" t="s">
        <v>164</v>
      </c>
      <c r="B11" s="18">
        <v>-30.0</v>
      </c>
      <c r="C11" s="16" t="s">
        <v>226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180</v>
      </c>
      <c r="B12" s="18">
        <v>20.0</v>
      </c>
      <c r="C12" s="16" t="s">
        <v>226</v>
      </c>
      <c r="E12" s="11" t="s">
        <v>46</v>
      </c>
      <c r="F12" s="12">
        <f>SUM(F3:F11)</f>
        <v>460</v>
      </c>
      <c r="I12" s="11">
        <v>9.0</v>
      </c>
      <c r="J12" s="29" t="s">
        <v>32</v>
      </c>
      <c r="K12" s="16"/>
    </row>
    <row r="13" ht="14.25" customHeight="1">
      <c r="A13" s="21" t="s">
        <v>237</v>
      </c>
      <c r="B13" s="18">
        <v>20.0</v>
      </c>
      <c r="C13" s="16" t="s">
        <v>226</v>
      </c>
      <c r="I13" s="11">
        <v>10.0</v>
      </c>
      <c r="J13" s="11" t="s">
        <v>69</v>
      </c>
      <c r="K13" s="16" t="s">
        <v>20</v>
      </c>
    </row>
    <row r="14" ht="14.25" customHeight="1">
      <c r="A14" s="26" t="s">
        <v>77</v>
      </c>
      <c r="B14" s="38">
        <v>-950.0</v>
      </c>
      <c r="C14" s="34" t="s">
        <v>239</v>
      </c>
      <c r="I14" s="11">
        <v>11.0</v>
      </c>
      <c r="J14" s="20" t="s">
        <v>56</v>
      </c>
      <c r="K14" s="16" t="s">
        <v>20</v>
      </c>
    </row>
    <row r="15" ht="14.25" customHeight="1">
      <c r="A15" s="21" t="s">
        <v>26</v>
      </c>
      <c r="B15" s="19">
        <v>90.0</v>
      </c>
      <c r="C15" s="16" t="s">
        <v>161</v>
      </c>
      <c r="I15" s="11">
        <v>12.0</v>
      </c>
      <c r="J15" s="11" t="s">
        <v>42</v>
      </c>
      <c r="K15" s="16" t="s">
        <v>20</v>
      </c>
    </row>
    <row r="16" ht="14.25" customHeight="1">
      <c r="A16" s="21" t="s">
        <v>97</v>
      </c>
      <c r="B16" s="18">
        <v>90.0</v>
      </c>
      <c r="C16" s="16" t="s">
        <v>211</v>
      </c>
      <c r="D16" s="39"/>
      <c r="E16" s="54" t="s">
        <v>241</v>
      </c>
      <c r="F16" s="3"/>
      <c r="I16" s="11">
        <v>14.0</v>
      </c>
      <c r="J16" s="11" t="s">
        <v>74</v>
      </c>
      <c r="K16" s="55"/>
    </row>
    <row r="17" ht="14.25" customHeight="1">
      <c r="A17" s="21" t="s">
        <v>39</v>
      </c>
      <c r="B17" s="18">
        <v>90.0</v>
      </c>
      <c r="C17" s="16" t="s">
        <v>211</v>
      </c>
      <c r="E17" s="21" t="s">
        <v>19</v>
      </c>
      <c r="F17" s="21"/>
      <c r="K17" s="57"/>
    </row>
    <row r="18" ht="14.25" customHeight="1">
      <c r="A18" s="47" t="s">
        <v>60</v>
      </c>
      <c r="B18" s="18">
        <v>90.0</v>
      </c>
      <c r="C18" s="16" t="s">
        <v>211</v>
      </c>
      <c r="E18" s="21" t="s">
        <v>42</v>
      </c>
      <c r="F18" s="21"/>
    </row>
    <row r="19" ht="14.25" customHeight="1">
      <c r="A19" s="21" t="s">
        <v>43</v>
      </c>
      <c r="B19" s="18">
        <v>90.0</v>
      </c>
      <c r="C19" s="16" t="s">
        <v>211</v>
      </c>
      <c r="E19" s="21" t="s">
        <v>60</v>
      </c>
      <c r="F19" s="21"/>
    </row>
    <row r="20" ht="14.25" customHeight="1">
      <c r="A20" s="45" t="s">
        <v>164</v>
      </c>
      <c r="B20" s="46">
        <v>-30.0</v>
      </c>
      <c r="C20" s="20" t="s">
        <v>249</v>
      </c>
      <c r="E20" s="21" t="s">
        <v>41</v>
      </c>
      <c r="F20" s="21"/>
    </row>
    <row r="21" ht="14.25" customHeight="1">
      <c r="A21" s="31" t="s">
        <v>116</v>
      </c>
      <c r="B21" s="46">
        <v>-30.0</v>
      </c>
      <c r="C21" s="20" t="s">
        <v>249</v>
      </c>
      <c r="E21" s="21" t="s">
        <v>26</v>
      </c>
      <c r="F21" s="21"/>
    </row>
    <row r="22" ht="14.25" customHeight="1">
      <c r="A22" s="21" t="s">
        <v>251</v>
      </c>
      <c r="B22" s="19">
        <v>20.0</v>
      </c>
      <c r="C22" s="20" t="s">
        <v>249</v>
      </c>
      <c r="E22" s="21" t="s">
        <v>43</v>
      </c>
      <c r="F22" s="21" t="s">
        <v>20</v>
      </c>
    </row>
    <row r="23" ht="14.25" customHeight="1">
      <c r="A23" s="21" t="s">
        <v>26</v>
      </c>
      <c r="B23" s="19">
        <v>90.0</v>
      </c>
      <c r="C23" s="16" t="s">
        <v>188</v>
      </c>
      <c r="E23" s="21" t="s">
        <v>253</v>
      </c>
      <c r="F23" s="21" t="s">
        <v>20</v>
      </c>
    </row>
    <row r="24" ht="14.25" customHeight="1">
      <c r="A24" s="21" t="s">
        <v>69</v>
      </c>
      <c r="B24" s="19">
        <v>90.0</v>
      </c>
      <c r="C24" s="21" t="s">
        <v>211</v>
      </c>
      <c r="E24" s="21" t="s">
        <v>254</v>
      </c>
      <c r="F24" s="50"/>
    </row>
    <row r="25" ht="14.25" customHeight="1">
      <c r="A25" s="21" t="s">
        <v>41</v>
      </c>
      <c r="B25" s="19">
        <v>20.0</v>
      </c>
      <c r="C25" s="21" t="s">
        <v>195</v>
      </c>
      <c r="E25" s="21" t="s">
        <v>213</v>
      </c>
      <c r="F25" s="50"/>
    </row>
    <row r="26" ht="14.25" customHeight="1">
      <c r="A26" s="21" t="s">
        <v>164</v>
      </c>
      <c r="B26" s="19">
        <v>-30.0</v>
      </c>
      <c r="C26" s="16" t="s">
        <v>256</v>
      </c>
    </row>
    <row r="27" ht="14.25" customHeight="1">
      <c r="A27" s="21" t="s">
        <v>237</v>
      </c>
      <c r="B27" s="19">
        <v>20.0</v>
      </c>
      <c r="C27" s="16" t="s">
        <v>256</v>
      </c>
    </row>
    <row r="28" ht="14.25" customHeight="1">
      <c r="A28" s="21" t="s">
        <v>259</v>
      </c>
      <c r="B28" s="19">
        <v>20.0</v>
      </c>
      <c r="C28" s="16" t="s">
        <v>256</v>
      </c>
    </row>
    <row r="29" ht="14.25" customHeight="1">
      <c r="A29" s="21" t="s">
        <v>261</v>
      </c>
      <c r="B29" s="19">
        <v>20.0</v>
      </c>
      <c r="C29" s="16" t="s">
        <v>256</v>
      </c>
    </row>
    <row r="30" ht="14.25" customHeight="1">
      <c r="A30" s="21" t="s">
        <v>53</v>
      </c>
      <c r="B30" s="19">
        <v>-220.48</v>
      </c>
      <c r="C30" s="16" t="s">
        <v>264</v>
      </c>
    </row>
    <row r="31" ht="14.25" customHeight="1">
      <c r="A31" s="21" t="s">
        <v>43</v>
      </c>
      <c r="B31" s="19">
        <v>20.0</v>
      </c>
      <c r="C31" s="16" t="s">
        <v>264</v>
      </c>
    </row>
    <row r="32" ht="14.25" customHeight="1">
      <c r="A32" s="21" t="s">
        <v>26</v>
      </c>
      <c r="B32" s="19">
        <v>90.0</v>
      </c>
      <c r="C32" s="16" t="s">
        <v>211</v>
      </c>
    </row>
    <row r="33" ht="14.25" customHeight="1">
      <c r="A33" s="21" t="s">
        <v>85</v>
      </c>
      <c r="B33" s="19">
        <v>20.0</v>
      </c>
      <c r="C33" s="16" t="s">
        <v>181</v>
      </c>
    </row>
    <row r="34" ht="14.25" customHeight="1">
      <c r="A34" s="21" t="s">
        <v>265</v>
      </c>
      <c r="B34" s="19">
        <v>20.0</v>
      </c>
      <c r="C34" s="21" t="s">
        <v>256</v>
      </c>
    </row>
    <row r="35" ht="14.25" customHeight="1">
      <c r="A35" s="21" t="s">
        <v>208</v>
      </c>
      <c r="B35" s="19">
        <v>20.0</v>
      </c>
      <c r="C35" s="21" t="s">
        <v>256</v>
      </c>
    </row>
    <row r="36" ht="14.25" customHeight="1">
      <c r="A36" s="21" t="s">
        <v>116</v>
      </c>
      <c r="B36" s="19">
        <v>-30.0</v>
      </c>
      <c r="C36" s="21" t="s">
        <v>214</v>
      </c>
    </row>
    <row r="37" ht="14.25" customHeight="1">
      <c r="A37" s="21" t="s">
        <v>253</v>
      </c>
      <c r="B37" s="19">
        <v>40.0</v>
      </c>
      <c r="C37" s="21" t="s">
        <v>266</v>
      </c>
    </row>
    <row r="38" ht="14.25" customHeight="1">
      <c r="A38" s="21"/>
      <c r="B38" s="19"/>
      <c r="C38" s="16"/>
    </row>
    <row r="39" ht="14.25" customHeight="1">
      <c r="A39" s="21"/>
      <c r="B39" s="19"/>
      <c r="C39" s="16"/>
    </row>
    <row r="40" ht="14.25" customHeight="1">
      <c r="A40" s="21"/>
      <c r="B40" s="19"/>
      <c r="C40" s="16"/>
    </row>
    <row r="41" ht="14.25" customHeight="1">
      <c r="A41" s="21"/>
      <c r="B41" s="19"/>
      <c r="C41" s="16"/>
    </row>
    <row r="42" ht="14.25" customHeight="1">
      <c r="A42" s="21"/>
      <c r="B42" s="19"/>
      <c r="C42" s="21"/>
    </row>
    <row r="43" ht="14.25" customHeight="1">
      <c r="A43" s="21"/>
      <c r="B43" s="19"/>
      <c r="C43" s="16"/>
    </row>
    <row r="44" ht="14.25" customHeight="1">
      <c r="A44" s="21"/>
      <c r="B44" s="21"/>
      <c r="C44" s="21"/>
    </row>
    <row r="45" ht="14.25" customHeight="1">
      <c r="A45" s="21"/>
      <c r="B45" s="21"/>
      <c r="C45" s="21"/>
    </row>
    <row r="46" ht="14.25" customHeight="1">
      <c r="A46" s="21"/>
      <c r="B46" s="21"/>
      <c r="C46" s="21"/>
    </row>
    <row r="47" ht="14.25" customHeight="1">
      <c r="A47" s="21"/>
      <c r="B47" s="21"/>
      <c r="C47" s="21"/>
    </row>
    <row r="48" ht="14.25" customHeight="1">
      <c r="A48" s="21"/>
      <c r="B48" s="21"/>
      <c r="C48" s="21"/>
    </row>
    <row r="49" ht="14.25" customHeight="1">
      <c r="A49" s="21"/>
      <c r="B49" s="21"/>
      <c r="C49" s="21"/>
    </row>
    <row r="50" ht="14.25" customHeight="1">
      <c r="A50" s="21"/>
      <c r="B50" s="21"/>
      <c r="C50" s="21"/>
    </row>
    <row r="51" ht="14.25" customHeight="1">
      <c r="A51" s="51" t="s">
        <v>106</v>
      </c>
      <c r="B51" s="52">
        <f>SUM(B3:B50)</f>
        <v>679.03</v>
      </c>
      <c r="C51" s="51"/>
    </row>
    <row r="52" ht="14.25" customHeight="1">
      <c r="B52" s="44"/>
    </row>
    <row r="53" ht="14.25" customHeight="1">
      <c r="B53" s="44"/>
    </row>
    <row r="54" ht="14.25" customHeight="1">
      <c r="A54" s="59"/>
      <c r="B54" s="60"/>
      <c r="C54" s="59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/>
    <row r="1010" ht="14.25" customHeight="1"/>
    <row r="1011" ht="14.25" customHeight="1"/>
  </sheetData>
  <autoFilter ref="$I$2:$K$2">
    <sortState ref="I2:K2">
      <sortCondition descending="1" ref="I2"/>
      <sortCondition ref="K2"/>
    </sortState>
  </autoFilter>
  <mergeCells count="4">
    <mergeCell ref="A1:C1"/>
    <mergeCell ref="E1:G1"/>
    <mergeCell ref="I1:K1"/>
    <mergeCell ref="E16:F1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85.0"/>
    <col customWidth="1" min="4" max="4" width="5.0"/>
    <col customWidth="1" min="5" max="5" width="24.29"/>
    <col customWidth="1" min="6" max="6" width="11.86"/>
    <col customWidth="1" min="7" max="7" width="100.57"/>
    <col customWidth="1" min="8" max="8" width="6.43"/>
    <col customWidth="1" min="9" max="9" width="15.71"/>
    <col customWidth="1" min="10" max="10" width="16.71"/>
    <col customWidth="1" min="11" max="11" width="29.14"/>
    <col customWidth="1" min="12" max="26" width="8.71"/>
  </cols>
  <sheetData>
    <row r="1" ht="14.25" customHeight="1">
      <c r="A1" s="1" t="s">
        <v>191</v>
      </c>
      <c r="B1" s="2"/>
      <c r="C1" s="3"/>
      <c r="E1" s="4" t="s">
        <v>1</v>
      </c>
      <c r="F1" s="2"/>
      <c r="G1" s="3"/>
      <c r="I1" s="1" t="s">
        <v>194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3">
        <v>679.03</v>
      </c>
      <c r="C3" s="14" t="s">
        <v>199</v>
      </c>
      <c r="E3" s="21" t="s">
        <v>75</v>
      </c>
      <c r="F3" s="19">
        <v>20.0</v>
      </c>
      <c r="G3" s="16" t="s">
        <v>163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42</v>
      </c>
      <c r="B4" s="19">
        <v>90.0</v>
      </c>
      <c r="C4" s="16" t="s">
        <v>202</v>
      </c>
      <c r="E4" s="21" t="s">
        <v>180</v>
      </c>
      <c r="F4" s="19">
        <v>20.0</v>
      </c>
      <c r="G4" s="16" t="s">
        <v>181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67</v>
      </c>
      <c r="B5" s="19">
        <v>-30.0</v>
      </c>
      <c r="C5" s="16" t="s">
        <v>204</v>
      </c>
      <c r="E5" s="21" t="s">
        <v>32</v>
      </c>
      <c r="F5" s="19">
        <v>200.0</v>
      </c>
      <c r="G5" s="21" t="s">
        <v>206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208</v>
      </c>
      <c r="B6" s="19">
        <v>20.0</v>
      </c>
      <c r="C6" s="16" t="s">
        <v>204</v>
      </c>
      <c r="E6" s="21" t="s">
        <v>209</v>
      </c>
      <c r="F6" s="19">
        <v>20.0</v>
      </c>
      <c r="G6" s="16" t="s">
        <v>212</v>
      </c>
      <c r="I6" s="11">
        <v>6.0</v>
      </c>
      <c r="J6" s="11" t="s">
        <v>39</v>
      </c>
      <c r="K6" s="16" t="s">
        <v>20</v>
      </c>
    </row>
    <row r="7" ht="14.25" customHeight="1">
      <c r="A7" s="21" t="s">
        <v>213</v>
      </c>
      <c r="B7" s="19">
        <v>20.0</v>
      </c>
      <c r="C7" s="21" t="s">
        <v>214</v>
      </c>
      <c r="E7" s="21" t="s">
        <v>26</v>
      </c>
      <c r="F7" s="19">
        <v>90.0</v>
      </c>
      <c r="G7" s="21" t="s">
        <v>202</v>
      </c>
      <c r="I7" s="11">
        <v>7.0</v>
      </c>
      <c r="J7" s="16" t="s">
        <v>183</v>
      </c>
      <c r="K7" s="16"/>
    </row>
    <row r="8" ht="14.25" customHeight="1">
      <c r="A8" s="21" t="s">
        <v>33</v>
      </c>
      <c r="B8" s="19">
        <v>90.0</v>
      </c>
      <c r="C8" s="16" t="s">
        <v>202</v>
      </c>
      <c r="E8" s="21" t="s">
        <v>60</v>
      </c>
      <c r="F8" s="19">
        <v>90.0</v>
      </c>
      <c r="G8" s="21" t="s">
        <v>202</v>
      </c>
      <c r="I8" s="11">
        <v>13.0</v>
      </c>
      <c r="J8" s="11" t="s">
        <v>53</v>
      </c>
      <c r="K8" s="16" t="s">
        <v>20</v>
      </c>
    </row>
    <row r="9" ht="14.25" customHeight="1">
      <c r="A9" s="21" t="s">
        <v>19</v>
      </c>
      <c r="B9" s="19">
        <v>90.0</v>
      </c>
      <c r="C9" s="16" t="s">
        <v>202</v>
      </c>
      <c r="E9" s="21" t="s">
        <v>17</v>
      </c>
      <c r="F9" s="19">
        <v>50.0</v>
      </c>
      <c r="G9" s="21" t="s">
        <v>202</v>
      </c>
      <c r="I9" s="11">
        <v>5.0</v>
      </c>
      <c r="J9" s="11" t="s">
        <v>55</v>
      </c>
      <c r="K9" s="16" t="s">
        <v>20</v>
      </c>
    </row>
    <row r="10" ht="14.25" customHeight="1">
      <c r="A10" s="21" t="s">
        <v>53</v>
      </c>
      <c r="B10" s="19">
        <v>90.0</v>
      </c>
      <c r="C10" s="16" t="s">
        <v>202</v>
      </c>
      <c r="E10" s="21" t="s">
        <v>218</v>
      </c>
      <c r="F10" s="19">
        <v>20.0</v>
      </c>
      <c r="G10" s="16" t="s">
        <v>219</v>
      </c>
      <c r="I10" s="11">
        <v>3.0</v>
      </c>
      <c r="J10" s="11" t="s">
        <v>60</v>
      </c>
      <c r="K10" s="16"/>
    </row>
    <row r="11" ht="14.25" customHeight="1">
      <c r="A11" s="21" t="s">
        <v>41</v>
      </c>
      <c r="B11" s="18">
        <v>60.0</v>
      </c>
      <c r="C11" s="16" t="s">
        <v>220</v>
      </c>
      <c r="E11" s="21" t="s">
        <v>221</v>
      </c>
      <c r="F11" s="19">
        <v>20.0</v>
      </c>
      <c r="G11" s="16" t="s">
        <v>219</v>
      </c>
      <c r="I11" s="11">
        <v>8.0</v>
      </c>
      <c r="J11" s="11" t="s">
        <v>43</v>
      </c>
      <c r="K11" s="16" t="s">
        <v>20</v>
      </c>
    </row>
    <row r="12" ht="14.25" customHeight="1">
      <c r="A12" s="21" t="s">
        <v>17</v>
      </c>
      <c r="B12" s="18">
        <v>50.0</v>
      </c>
      <c r="C12" s="21" t="s">
        <v>211</v>
      </c>
      <c r="E12" s="21" t="s">
        <v>223</v>
      </c>
      <c r="F12" s="19">
        <v>20.0</v>
      </c>
      <c r="G12" s="16" t="s">
        <v>219</v>
      </c>
      <c r="I12" s="11">
        <v>9.0</v>
      </c>
      <c r="J12" s="29" t="s">
        <v>41</v>
      </c>
      <c r="K12" s="16" t="s">
        <v>20</v>
      </c>
    </row>
    <row r="13" ht="14.25" customHeight="1">
      <c r="A13" s="21" t="s">
        <v>56</v>
      </c>
      <c r="B13" s="18">
        <v>90.0</v>
      </c>
      <c r="C13" s="21" t="s">
        <v>211</v>
      </c>
      <c r="E13" s="21" t="s">
        <v>28</v>
      </c>
      <c r="F13" s="19">
        <v>20.0</v>
      </c>
      <c r="G13" s="21" t="s">
        <v>225</v>
      </c>
      <c r="I13" s="11">
        <v>10.0</v>
      </c>
      <c r="J13" s="16" t="s">
        <v>210</v>
      </c>
      <c r="K13" s="16" t="s">
        <v>210</v>
      </c>
    </row>
    <row r="14" ht="14.25" customHeight="1">
      <c r="A14" s="34" t="s">
        <v>77</v>
      </c>
      <c r="B14" s="38">
        <v>-950.0</v>
      </c>
      <c r="C14" s="34" t="s">
        <v>228</v>
      </c>
      <c r="I14" s="11">
        <v>11.0</v>
      </c>
      <c r="J14" s="20" t="s">
        <v>56</v>
      </c>
      <c r="K14" s="16" t="s">
        <v>20</v>
      </c>
    </row>
    <row r="15" ht="14.25" customHeight="1">
      <c r="A15" s="21" t="s">
        <v>116</v>
      </c>
      <c r="B15" s="19">
        <v>-30.0</v>
      </c>
      <c r="C15" s="16" t="s">
        <v>231</v>
      </c>
      <c r="E15" s="11" t="s">
        <v>46</v>
      </c>
      <c r="F15" s="12">
        <f>SUM(F3:F14)</f>
        <v>570</v>
      </c>
      <c r="I15" s="11">
        <v>12.0</v>
      </c>
      <c r="J15" s="11" t="s">
        <v>42</v>
      </c>
      <c r="K15" s="16" t="s">
        <v>20</v>
      </c>
    </row>
    <row r="16" ht="14.25" customHeight="1">
      <c r="A16" s="21" t="s">
        <v>234</v>
      </c>
      <c r="B16" s="18">
        <v>-35.0</v>
      </c>
      <c r="C16" s="16" t="s">
        <v>235</v>
      </c>
      <c r="D16" s="39"/>
      <c r="I16" s="11">
        <v>14.0</v>
      </c>
      <c r="J16" s="11" t="s">
        <v>74</v>
      </c>
      <c r="K16" s="16" t="s">
        <v>20</v>
      </c>
    </row>
    <row r="17" ht="14.25" customHeight="1">
      <c r="A17" s="21" t="s">
        <v>97</v>
      </c>
      <c r="B17" s="18">
        <v>90.0</v>
      </c>
      <c r="C17" s="16" t="s">
        <v>202</v>
      </c>
      <c r="K17" s="57"/>
    </row>
    <row r="18" ht="14.25" customHeight="1">
      <c r="A18" s="47" t="s">
        <v>41</v>
      </c>
      <c r="B18" s="18">
        <v>100.0</v>
      </c>
      <c r="C18" s="16" t="s">
        <v>238</v>
      </c>
    </row>
    <row r="19" ht="14.25" customHeight="1">
      <c r="A19" s="21" t="s">
        <v>97</v>
      </c>
      <c r="B19" s="18">
        <v>20.0</v>
      </c>
      <c r="C19" s="16" t="s">
        <v>235</v>
      </c>
      <c r="E19" s="54" t="s">
        <v>241</v>
      </c>
      <c r="F19" s="3"/>
    </row>
    <row r="20" ht="14.25" customHeight="1">
      <c r="A20" s="45" t="s">
        <v>39</v>
      </c>
      <c r="B20" s="18">
        <v>90.0</v>
      </c>
      <c r="C20" s="16" t="s">
        <v>202</v>
      </c>
      <c r="E20" s="21" t="s">
        <v>19</v>
      </c>
      <c r="F20" s="21" t="s">
        <v>20</v>
      </c>
    </row>
    <row r="21" ht="14.25" customHeight="1">
      <c r="A21" s="31" t="s">
        <v>42</v>
      </c>
      <c r="B21" s="46">
        <v>40.0</v>
      </c>
      <c r="C21" s="16" t="s">
        <v>245</v>
      </c>
      <c r="E21" s="21" t="s">
        <v>42</v>
      </c>
      <c r="F21" s="21" t="s">
        <v>20</v>
      </c>
    </row>
    <row r="22" ht="14.25" customHeight="1">
      <c r="A22" s="21" t="s">
        <v>58</v>
      </c>
      <c r="B22" s="19">
        <v>20.0</v>
      </c>
      <c r="C22" s="16" t="s">
        <v>235</v>
      </c>
      <c r="E22" s="21" t="s">
        <v>60</v>
      </c>
      <c r="F22" s="21" t="s">
        <v>20</v>
      </c>
    </row>
    <row r="23" ht="14.25" customHeight="1">
      <c r="A23" s="21" t="s">
        <v>247</v>
      </c>
      <c r="B23" s="19">
        <v>180.0</v>
      </c>
      <c r="C23" s="21" t="s">
        <v>248</v>
      </c>
      <c r="E23" s="21" t="s">
        <v>41</v>
      </c>
      <c r="F23" s="21" t="s">
        <v>20</v>
      </c>
    </row>
    <row r="24" ht="14.25" customHeight="1">
      <c r="A24" s="21" t="s">
        <v>43</v>
      </c>
      <c r="B24" s="19">
        <v>90.0</v>
      </c>
      <c r="C24" s="16" t="s">
        <v>202</v>
      </c>
      <c r="E24" s="21" t="s">
        <v>26</v>
      </c>
      <c r="F24" s="21"/>
    </row>
    <row r="25" ht="14.25" customHeight="1">
      <c r="A25" s="21" t="s">
        <v>43</v>
      </c>
      <c r="B25" s="19">
        <v>20.0</v>
      </c>
      <c r="C25" s="16" t="s">
        <v>235</v>
      </c>
      <c r="E25" s="21" t="s">
        <v>43</v>
      </c>
      <c r="F25" s="21" t="s">
        <v>20</v>
      </c>
    </row>
    <row r="26" ht="14.25" customHeight="1">
      <c r="A26" s="21" t="s">
        <v>116</v>
      </c>
      <c r="B26" s="19">
        <v>-30.0</v>
      </c>
      <c r="C26" s="16" t="s">
        <v>212</v>
      </c>
      <c r="E26" s="21" t="s">
        <v>253</v>
      </c>
      <c r="F26" s="21" t="s">
        <v>20</v>
      </c>
    </row>
    <row r="27" ht="14.25" customHeight="1">
      <c r="A27" s="21" t="s">
        <v>60</v>
      </c>
      <c r="B27" s="19">
        <v>-180.0</v>
      </c>
      <c r="C27" s="16" t="s">
        <v>235</v>
      </c>
      <c r="E27" s="21" t="s">
        <v>254</v>
      </c>
      <c r="F27" s="21" t="s">
        <v>210</v>
      </c>
    </row>
    <row r="28" ht="14.25" customHeight="1">
      <c r="A28" s="21" t="s">
        <v>28</v>
      </c>
      <c r="B28" s="19">
        <v>100.0</v>
      </c>
      <c r="C28" s="21" t="s">
        <v>255</v>
      </c>
      <c r="E28" s="21" t="s">
        <v>213</v>
      </c>
      <c r="F28" s="21" t="s">
        <v>210</v>
      </c>
    </row>
    <row r="29" ht="14.25" customHeight="1">
      <c r="A29" s="21" t="s">
        <v>258</v>
      </c>
      <c r="B29" s="19">
        <v>20.0</v>
      </c>
      <c r="C29" s="16" t="s">
        <v>219</v>
      </c>
    </row>
    <row r="30" ht="14.25" customHeight="1">
      <c r="A30" s="21" t="s">
        <v>260</v>
      </c>
      <c r="B30" s="19">
        <v>20.0</v>
      </c>
      <c r="C30" s="16" t="s">
        <v>219</v>
      </c>
      <c r="E30" s="54" t="s">
        <v>263</v>
      </c>
      <c r="F30" s="3"/>
    </row>
    <row r="31" ht="14.25" customHeight="1">
      <c r="A31" s="21" t="s">
        <v>116</v>
      </c>
      <c r="B31" s="19">
        <v>-30.0</v>
      </c>
      <c r="C31" s="16" t="s">
        <v>219</v>
      </c>
      <c r="E31" s="21" t="s">
        <v>19</v>
      </c>
      <c r="F31" s="21" t="s">
        <v>20</v>
      </c>
    </row>
    <row r="32" ht="14.25" customHeight="1">
      <c r="A32" s="21" t="s">
        <v>139</v>
      </c>
      <c r="B32" s="19">
        <v>-30.0</v>
      </c>
      <c r="C32" s="16" t="s">
        <v>219</v>
      </c>
      <c r="E32" s="21" t="s">
        <v>42</v>
      </c>
      <c r="F32" s="21" t="s">
        <v>20</v>
      </c>
    </row>
    <row r="33" ht="14.25" customHeight="1">
      <c r="A33" s="21" t="s">
        <v>116</v>
      </c>
      <c r="B33" s="19">
        <v>-30.0</v>
      </c>
      <c r="C33" s="16" t="s">
        <v>225</v>
      </c>
      <c r="E33" s="21" t="s">
        <v>60</v>
      </c>
      <c r="F33" s="21" t="s">
        <v>20</v>
      </c>
    </row>
    <row r="34" ht="14.25" customHeight="1">
      <c r="A34" s="21" t="s">
        <v>139</v>
      </c>
      <c r="B34" s="19">
        <v>-30.0</v>
      </c>
      <c r="C34" s="16" t="s">
        <v>225</v>
      </c>
      <c r="E34" s="21" t="s">
        <v>26</v>
      </c>
      <c r="F34" s="21"/>
    </row>
    <row r="35" ht="14.25" customHeight="1">
      <c r="A35" s="21" t="s">
        <v>42</v>
      </c>
      <c r="B35" s="19">
        <v>90.0</v>
      </c>
      <c r="C35" s="21" t="s">
        <v>267</v>
      </c>
      <c r="E35" s="21" t="s">
        <v>43</v>
      </c>
      <c r="F35" s="21" t="s">
        <v>20</v>
      </c>
    </row>
    <row r="36" ht="14.25" customHeight="1">
      <c r="A36" s="21" t="s">
        <v>208</v>
      </c>
      <c r="B36" s="19">
        <v>40.0</v>
      </c>
      <c r="C36" s="21" t="s">
        <v>268</v>
      </c>
      <c r="E36" s="21" t="s">
        <v>97</v>
      </c>
      <c r="F36" s="21" t="s">
        <v>20</v>
      </c>
    </row>
    <row r="37" ht="14.25" customHeight="1">
      <c r="A37" s="21" t="s">
        <v>269</v>
      </c>
      <c r="B37" s="19">
        <v>20.0</v>
      </c>
      <c r="C37" s="21" t="s">
        <v>231</v>
      </c>
      <c r="E37" s="21" t="s">
        <v>53</v>
      </c>
      <c r="F37" s="21" t="s">
        <v>20</v>
      </c>
    </row>
    <row r="38" ht="14.25" customHeight="1">
      <c r="A38" s="21"/>
      <c r="B38" s="19"/>
      <c r="C38" s="16"/>
    </row>
    <row r="39" ht="14.25" customHeight="1">
      <c r="A39" s="21"/>
      <c r="B39" s="19"/>
      <c r="C39" s="16"/>
    </row>
    <row r="40" ht="14.25" customHeight="1">
      <c r="A40" s="21"/>
      <c r="B40" s="19"/>
      <c r="C40" s="16"/>
    </row>
    <row r="41" ht="14.25" customHeight="1">
      <c r="A41" s="21"/>
      <c r="B41" s="19"/>
      <c r="C41" s="16"/>
    </row>
    <row r="42" ht="14.25" customHeight="1">
      <c r="A42" s="21"/>
      <c r="B42" s="19"/>
      <c r="C42" s="21"/>
    </row>
    <row r="43" ht="14.25" customHeight="1">
      <c r="A43" s="21"/>
      <c r="B43" s="19"/>
      <c r="C43" s="16"/>
    </row>
    <row r="44" ht="14.25" customHeight="1">
      <c r="A44" s="21"/>
      <c r="B44" s="21"/>
      <c r="C44" s="21"/>
    </row>
    <row r="45" ht="14.25" customHeight="1">
      <c r="A45" s="21"/>
      <c r="B45" s="21"/>
      <c r="C45" s="21"/>
    </row>
    <row r="46" ht="14.25" customHeight="1">
      <c r="A46" s="21"/>
      <c r="B46" s="21"/>
      <c r="C46" s="21"/>
    </row>
    <row r="47" ht="14.25" customHeight="1">
      <c r="A47" s="21"/>
      <c r="B47" s="21"/>
      <c r="C47" s="21"/>
    </row>
    <row r="48" ht="14.25" customHeight="1">
      <c r="A48" s="21"/>
      <c r="B48" s="21"/>
      <c r="C48" s="21"/>
    </row>
    <row r="49" ht="14.25" customHeight="1">
      <c r="A49" s="21"/>
      <c r="B49" s="21"/>
      <c r="C49" s="21"/>
    </row>
    <row r="50" ht="14.25" customHeight="1">
      <c r="A50" s="21"/>
      <c r="B50" s="21"/>
      <c r="C50" s="21"/>
    </row>
    <row r="51" ht="14.25" customHeight="1">
      <c r="A51" s="51" t="s">
        <v>106</v>
      </c>
      <c r="B51" s="52">
        <f>SUM(B3:B50)</f>
        <v>844.03</v>
      </c>
      <c r="C51" s="51"/>
    </row>
    <row r="52" ht="14.25" customHeight="1">
      <c r="B52" s="44"/>
    </row>
    <row r="53" ht="14.25" customHeight="1">
      <c r="B53" s="44"/>
    </row>
    <row r="54" ht="14.25" customHeight="1">
      <c r="A54" s="59"/>
      <c r="B54" s="60"/>
      <c r="C54" s="59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/>
    <row r="1010" ht="14.25" customHeight="1"/>
    <row r="1011" ht="14.25" customHeight="1"/>
  </sheetData>
  <autoFilter ref="$I$2:$K$2">
    <sortState ref="I2:K2">
      <sortCondition descending="1" ref="I2"/>
      <sortCondition ref="K2"/>
    </sortState>
  </autoFilter>
  <mergeCells count="5">
    <mergeCell ref="A1:C1"/>
    <mergeCell ref="E1:G1"/>
    <mergeCell ref="I1:K1"/>
    <mergeCell ref="E19:F19"/>
    <mergeCell ref="E30:F3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271</v>
      </c>
      <c r="B1" s="2"/>
      <c r="C1" s="3"/>
      <c r="E1" s="4" t="s">
        <v>1</v>
      </c>
      <c r="F1" s="2"/>
      <c r="G1" s="3"/>
      <c r="I1" s="1" t="s">
        <v>272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0">
        <v>844.03</v>
      </c>
      <c r="C3" s="14" t="s">
        <v>273</v>
      </c>
      <c r="E3" s="21" t="s">
        <v>75</v>
      </c>
      <c r="F3" s="19">
        <v>20.0</v>
      </c>
      <c r="G3" s="16" t="s">
        <v>163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274</v>
      </c>
      <c r="B4" s="19">
        <v>50.0</v>
      </c>
      <c r="C4" s="16" t="s">
        <v>275</v>
      </c>
      <c r="E4" s="21" t="s">
        <v>180</v>
      </c>
      <c r="F4" s="19">
        <v>20.0</v>
      </c>
      <c r="G4" s="16" t="s">
        <v>181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26</v>
      </c>
      <c r="B5" s="19">
        <v>90.0</v>
      </c>
      <c r="C5" s="16" t="s">
        <v>202</v>
      </c>
      <c r="E5" s="21" t="s">
        <v>32</v>
      </c>
      <c r="F5" s="19">
        <v>200.0</v>
      </c>
      <c r="G5" s="21" t="s">
        <v>206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56</v>
      </c>
      <c r="B6" s="19">
        <v>90.0</v>
      </c>
      <c r="C6" s="16" t="s">
        <v>202</v>
      </c>
      <c r="E6" s="21" t="s">
        <v>269</v>
      </c>
      <c r="F6" s="19">
        <v>40.0</v>
      </c>
      <c r="G6" s="21" t="s">
        <v>276</v>
      </c>
      <c r="I6" s="11">
        <v>7.0</v>
      </c>
      <c r="J6" s="16" t="s">
        <v>183</v>
      </c>
      <c r="K6" s="16"/>
    </row>
    <row r="7" ht="14.25" customHeight="1">
      <c r="A7" s="21" t="s">
        <v>209</v>
      </c>
      <c r="B7" s="19">
        <v>20.0</v>
      </c>
      <c r="C7" s="16" t="s">
        <v>212</v>
      </c>
      <c r="E7" s="21" t="s">
        <v>37</v>
      </c>
      <c r="F7" s="19">
        <v>20.0</v>
      </c>
      <c r="G7" s="21" t="s">
        <v>277</v>
      </c>
      <c r="I7" s="11">
        <v>13.0</v>
      </c>
      <c r="J7" s="11" t="s">
        <v>53</v>
      </c>
      <c r="K7" s="16" t="s">
        <v>20</v>
      </c>
    </row>
    <row r="8" ht="14.25" customHeight="1">
      <c r="A8" s="21" t="s">
        <v>19</v>
      </c>
      <c r="B8" s="19">
        <v>90.0</v>
      </c>
      <c r="C8" s="16" t="s">
        <v>267</v>
      </c>
      <c r="E8" s="21" t="s">
        <v>26</v>
      </c>
      <c r="F8" s="19">
        <v>40.0</v>
      </c>
      <c r="G8" s="21" t="s">
        <v>278</v>
      </c>
      <c r="I8" s="11">
        <v>5.0</v>
      </c>
      <c r="J8" s="11" t="s">
        <v>55</v>
      </c>
      <c r="K8" s="16" t="s">
        <v>20</v>
      </c>
    </row>
    <row r="9" ht="14.25" customHeight="1">
      <c r="A9" s="21" t="s">
        <v>279</v>
      </c>
      <c r="B9" s="19">
        <v>90.0</v>
      </c>
      <c r="C9" s="16" t="s">
        <v>267</v>
      </c>
      <c r="E9" s="21" t="s">
        <v>223</v>
      </c>
      <c r="F9" s="19">
        <v>20.0</v>
      </c>
      <c r="G9" s="16" t="s">
        <v>280</v>
      </c>
      <c r="I9" s="11">
        <v>3.0</v>
      </c>
      <c r="J9" s="11" t="s">
        <v>60</v>
      </c>
      <c r="K9" s="16"/>
    </row>
    <row r="10" ht="14.25" customHeight="1">
      <c r="A10" s="21" t="s">
        <v>33</v>
      </c>
      <c r="B10" s="18">
        <v>90.0</v>
      </c>
      <c r="C10" s="16" t="s">
        <v>267</v>
      </c>
      <c r="E10" s="21" t="s">
        <v>17</v>
      </c>
      <c r="F10" s="19">
        <v>50.0</v>
      </c>
      <c r="G10" s="21" t="s">
        <v>267</v>
      </c>
      <c r="I10" s="11">
        <v>8.0</v>
      </c>
      <c r="J10" s="11" t="s">
        <v>43</v>
      </c>
      <c r="K10" s="16" t="s">
        <v>20</v>
      </c>
    </row>
    <row r="11" ht="14.25" customHeight="1">
      <c r="A11" s="21" t="s">
        <v>223</v>
      </c>
      <c r="B11" s="19">
        <v>20.0</v>
      </c>
      <c r="C11" s="16" t="s">
        <v>219</v>
      </c>
      <c r="E11" s="21" t="s">
        <v>60</v>
      </c>
      <c r="F11" s="19">
        <v>90.0</v>
      </c>
      <c r="G11" s="21" t="s">
        <v>267</v>
      </c>
      <c r="I11" s="11">
        <v>9.0</v>
      </c>
      <c r="J11" s="29" t="s">
        <v>41</v>
      </c>
      <c r="K11" s="16" t="s">
        <v>20</v>
      </c>
    </row>
    <row r="12" ht="14.25" customHeight="1">
      <c r="A12" s="21" t="s">
        <v>281</v>
      </c>
      <c r="B12" s="18">
        <v>-30.0</v>
      </c>
      <c r="C12" s="21" t="s">
        <v>277</v>
      </c>
      <c r="E12" s="21" t="s">
        <v>74</v>
      </c>
      <c r="F12" s="19">
        <v>90.0</v>
      </c>
      <c r="G12" s="21" t="s">
        <v>267</v>
      </c>
      <c r="I12" s="11">
        <v>10.0</v>
      </c>
      <c r="J12" s="16" t="s">
        <v>28</v>
      </c>
      <c r="K12" s="16" t="s">
        <v>20</v>
      </c>
    </row>
    <row r="13" ht="14.25" customHeight="1">
      <c r="A13" s="21" t="s">
        <v>53</v>
      </c>
      <c r="B13" s="19">
        <v>90.0</v>
      </c>
      <c r="C13" s="16" t="s">
        <v>267</v>
      </c>
      <c r="E13" s="21" t="s">
        <v>56</v>
      </c>
      <c r="F13" s="19">
        <v>90.0</v>
      </c>
      <c r="G13" s="21" t="s">
        <v>267</v>
      </c>
      <c r="I13" s="11">
        <v>11.0</v>
      </c>
      <c r="J13" s="20" t="s">
        <v>56</v>
      </c>
      <c r="K13" s="16"/>
    </row>
    <row r="14" ht="14.25" customHeight="1">
      <c r="A14" s="34" t="s">
        <v>77</v>
      </c>
      <c r="B14" s="38">
        <v>-950.0</v>
      </c>
      <c r="C14" s="34" t="s">
        <v>282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17</v>
      </c>
      <c r="B15" s="18">
        <v>50.0</v>
      </c>
      <c r="C15" s="21" t="s">
        <v>202</v>
      </c>
      <c r="D15" s="39"/>
      <c r="I15" s="11">
        <v>14.0</v>
      </c>
      <c r="J15" s="11" t="s">
        <v>74</v>
      </c>
      <c r="K15" s="16"/>
    </row>
    <row r="16" ht="14.25" customHeight="1">
      <c r="A16" s="21" t="s">
        <v>283</v>
      </c>
      <c r="B16" s="19">
        <v>90.0</v>
      </c>
      <c r="C16" s="16" t="s">
        <v>267</v>
      </c>
      <c r="E16" s="11" t="s">
        <v>46</v>
      </c>
      <c r="F16" s="12">
        <f>SUM(F3:F15)</f>
        <v>680</v>
      </c>
      <c r="K16" s="57"/>
    </row>
    <row r="17" ht="14.25" customHeight="1">
      <c r="A17" s="47" t="s">
        <v>26</v>
      </c>
      <c r="B17" s="18">
        <v>90.0</v>
      </c>
      <c r="C17" s="16" t="s">
        <v>267</v>
      </c>
    </row>
    <row r="18" ht="14.25" customHeight="1">
      <c r="A18" s="21" t="s">
        <v>60</v>
      </c>
      <c r="B18" s="18">
        <v>90.0</v>
      </c>
      <c r="C18" s="21" t="s">
        <v>202</v>
      </c>
    </row>
    <row r="19" ht="14.25" customHeight="1">
      <c r="A19" s="45" t="s">
        <v>116</v>
      </c>
      <c r="B19" s="18">
        <v>-30.0</v>
      </c>
      <c r="C19" s="16" t="s">
        <v>284</v>
      </c>
    </row>
    <row r="20" ht="14.25" customHeight="1">
      <c r="A20" s="31" t="s">
        <v>164</v>
      </c>
      <c r="B20" s="18">
        <v>-30.0</v>
      </c>
      <c r="C20" s="16" t="s">
        <v>284</v>
      </c>
    </row>
    <row r="21" ht="14.25" customHeight="1">
      <c r="A21" s="21" t="s">
        <v>283</v>
      </c>
      <c r="B21" s="19">
        <v>20.0</v>
      </c>
      <c r="C21" s="21" t="s">
        <v>285</v>
      </c>
      <c r="E21" s="54" t="s">
        <v>285</v>
      </c>
      <c r="F21" s="3"/>
    </row>
    <row r="22" ht="14.25" customHeight="1">
      <c r="A22" s="21" t="s">
        <v>53</v>
      </c>
      <c r="B22" s="19">
        <v>20.0</v>
      </c>
      <c r="C22" s="21" t="s">
        <v>285</v>
      </c>
      <c r="E22" s="21" t="s">
        <v>53</v>
      </c>
      <c r="F22" s="21" t="s">
        <v>20</v>
      </c>
    </row>
    <row r="23" ht="14.25" customHeight="1">
      <c r="A23" s="21" t="s">
        <v>53</v>
      </c>
      <c r="B23" s="19">
        <v>-232.56</v>
      </c>
      <c r="C23" s="21" t="s">
        <v>285</v>
      </c>
      <c r="E23" s="21" t="s">
        <v>97</v>
      </c>
      <c r="F23" s="21" t="s">
        <v>20</v>
      </c>
    </row>
    <row r="24" ht="14.25" customHeight="1">
      <c r="A24" s="21" t="s">
        <v>33</v>
      </c>
      <c r="B24" s="19">
        <v>20.0</v>
      </c>
      <c r="C24" s="21" t="s">
        <v>285</v>
      </c>
      <c r="E24" s="21" t="s">
        <v>197</v>
      </c>
      <c r="F24" s="21"/>
    </row>
    <row r="25" ht="14.25" customHeight="1">
      <c r="A25" s="21" t="s">
        <v>43</v>
      </c>
      <c r="B25" s="19">
        <v>110.0</v>
      </c>
      <c r="C25" s="21" t="s">
        <v>286</v>
      </c>
      <c r="E25" s="21" t="s">
        <v>26</v>
      </c>
      <c r="F25" s="21"/>
    </row>
    <row r="26" ht="14.25" customHeight="1">
      <c r="A26" s="21" t="s">
        <v>287</v>
      </c>
      <c r="B26" s="19">
        <v>40.0</v>
      </c>
      <c r="C26" s="21" t="s">
        <v>288</v>
      </c>
      <c r="E26" s="21" t="s">
        <v>43</v>
      </c>
      <c r="F26" s="21" t="s">
        <v>20</v>
      </c>
    </row>
    <row r="27" ht="14.25" customHeight="1">
      <c r="A27" s="21" t="s">
        <v>164</v>
      </c>
      <c r="B27" s="18">
        <v>-30.0</v>
      </c>
      <c r="C27" s="16" t="s">
        <v>289</v>
      </c>
      <c r="E27" s="21" t="s">
        <v>33</v>
      </c>
      <c r="F27" s="21" t="s">
        <v>20</v>
      </c>
    </row>
    <row r="28" ht="14.25" customHeight="1">
      <c r="A28" s="21" t="s">
        <v>67</v>
      </c>
      <c r="B28" s="18">
        <v>-30.0</v>
      </c>
      <c r="C28" s="16" t="s">
        <v>289</v>
      </c>
      <c r="E28" s="21" t="s">
        <v>290</v>
      </c>
      <c r="F28" s="21"/>
    </row>
    <row r="29" ht="14.25" customHeight="1">
      <c r="A29" s="21" t="s">
        <v>287</v>
      </c>
      <c r="B29" s="19">
        <v>20.0</v>
      </c>
      <c r="C29" s="16" t="s">
        <v>289</v>
      </c>
      <c r="E29" s="21" t="s">
        <v>287</v>
      </c>
      <c r="F29" s="21" t="s">
        <v>20</v>
      </c>
    </row>
    <row r="30" ht="14.25" customHeight="1">
      <c r="A30" s="21" t="s">
        <v>291</v>
      </c>
      <c r="B30" s="19">
        <v>20.0</v>
      </c>
      <c r="C30" s="16" t="s">
        <v>289</v>
      </c>
    </row>
    <row r="31" ht="14.25" customHeight="1">
      <c r="A31" s="21" t="s">
        <v>260</v>
      </c>
      <c r="B31" s="19">
        <v>20.0</v>
      </c>
      <c r="C31" s="16" t="s">
        <v>289</v>
      </c>
    </row>
    <row r="32" ht="14.25" customHeight="1">
      <c r="A32" s="21" t="s">
        <v>292</v>
      </c>
      <c r="B32" s="19">
        <v>20.0</v>
      </c>
      <c r="C32" s="16" t="s">
        <v>289</v>
      </c>
    </row>
    <row r="33" ht="14.25" customHeight="1">
      <c r="A33" s="21" t="s">
        <v>41</v>
      </c>
      <c r="B33" s="19">
        <v>90.0</v>
      </c>
      <c r="C33" s="16" t="s">
        <v>267</v>
      </c>
    </row>
    <row r="34" ht="14.25" customHeight="1">
      <c r="A34" s="21" t="s">
        <v>116</v>
      </c>
      <c r="B34" s="19">
        <v>-30.0</v>
      </c>
      <c r="C34" s="16" t="s">
        <v>280</v>
      </c>
    </row>
    <row r="35" ht="14.25" customHeight="1">
      <c r="A35" s="21" t="s">
        <v>293</v>
      </c>
      <c r="B35" s="19">
        <v>20.0</v>
      </c>
      <c r="C35" s="16" t="s">
        <v>289</v>
      </c>
    </row>
    <row r="36" ht="14.25" customHeight="1">
      <c r="A36" s="21" t="s">
        <v>28</v>
      </c>
      <c r="B36" s="19">
        <v>100.0</v>
      </c>
      <c r="C36" s="21" t="s">
        <v>294</v>
      </c>
    </row>
    <row r="37" ht="14.25" customHeight="1">
      <c r="A37" s="21"/>
      <c r="B37" s="21"/>
      <c r="C37" s="21"/>
    </row>
    <row r="38" ht="14.25" customHeight="1">
      <c r="A38" s="21"/>
      <c r="B38" s="21"/>
      <c r="C38" s="21"/>
    </row>
    <row r="39" ht="14.25" customHeight="1">
      <c r="A39" s="21"/>
      <c r="B39" s="21"/>
      <c r="C39" s="21"/>
    </row>
    <row r="40" ht="14.25" customHeight="1">
      <c r="A40" s="51" t="s">
        <v>106</v>
      </c>
      <c r="B40" s="52">
        <f>SUM(B3:B39)</f>
        <v>931.47</v>
      </c>
      <c r="C40" s="51"/>
    </row>
    <row r="41" ht="14.25" customHeight="1">
      <c r="B41" s="44"/>
    </row>
    <row r="42" ht="14.25" customHeight="1">
      <c r="B42" s="44"/>
    </row>
    <row r="43" ht="14.25" customHeight="1">
      <c r="A43" s="59"/>
      <c r="B43" s="60"/>
      <c r="C43" s="59"/>
    </row>
    <row r="44" ht="14.25" customHeight="1">
      <c r="B44" s="44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4">
    <mergeCell ref="A1:C1"/>
    <mergeCell ref="E1:G1"/>
    <mergeCell ref="I1:K1"/>
    <mergeCell ref="E21:F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295</v>
      </c>
      <c r="B1" s="2"/>
      <c r="C1" s="3"/>
      <c r="E1" s="4" t="s">
        <v>1</v>
      </c>
      <c r="F1" s="2"/>
      <c r="G1" s="3"/>
      <c r="I1" s="1" t="s">
        <v>296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62">
        <v>931.47</v>
      </c>
      <c r="C3" s="14" t="s">
        <v>297</v>
      </c>
      <c r="E3" s="21" t="s">
        <v>75</v>
      </c>
      <c r="F3" s="19">
        <v>20.0</v>
      </c>
      <c r="G3" s="16" t="s">
        <v>163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53</v>
      </c>
      <c r="B4" s="19">
        <v>90.0</v>
      </c>
      <c r="C4" s="16" t="s">
        <v>299</v>
      </c>
      <c r="E4" s="21" t="s">
        <v>180</v>
      </c>
      <c r="F4" s="19">
        <v>20.0</v>
      </c>
      <c r="G4" s="16" t="s">
        <v>181</v>
      </c>
      <c r="I4" s="11">
        <v>2.0</v>
      </c>
      <c r="J4" s="11" t="s">
        <v>26</v>
      </c>
      <c r="K4" s="16"/>
    </row>
    <row r="5" ht="14.25" customHeight="1">
      <c r="A5" s="21" t="s">
        <v>153</v>
      </c>
      <c r="B5" s="19">
        <v>90.0</v>
      </c>
      <c r="C5" s="16" t="s">
        <v>299</v>
      </c>
      <c r="E5" s="21" t="s">
        <v>32</v>
      </c>
      <c r="F5" s="19">
        <v>200.0</v>
      </c>
      <c r="G5" s="21" t="s">
        <v>206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293</v>
      </c>
      <c r="B6" s="19">
        <v>40.0</v>
      </c>
      <c r="C6" s="16" t="s">
        <v>301</v>
      </c>
      <c r="E6" s="21" t="s">
        <v>269</v>
      </c>
      <c r="F6" s="19">
        <v>40.0</v>
      </c>
      <c r="G6" s="21" t="s">
        <v>276</v>
      </c>
      <c r="I6" s="11">
        <v>7.0</v>
      </c>
      <c r="J6" s="16" t="s">
        <v>183</v>
      </c>
      <c r="K6" s="16"/>
    </row>
    <row r="7" ht="14.25" customHeight="1">
      <c r="A7" s="21" t="s">
        <v>41</v>
      </c>
      <c r="B7" s="19">
        <v>20.0</v>
      </c>
      <c r="C7" s="16" t="s">
        <v>301</v>
      </c>
      <c r="E7" s="21" t="s">
        <v>37</v>
      </c>
      <c r="F7" s="19">
        <v>20.0</v>
      </c>
      <c r="G7" s="21" t="s">
        <v>277</v>
      </c>
      <c r="I7" s="11">
        <v>13.0</v>
      </c>
      <c r="J7" s="11" t="s">
        <v>53</v>
      </c>
      <c r="K7" s="16" t="s">
        <v>20</v>
      </c>
    </row>
    <row r="8" ht="14.25" customHeight="1">
      <c r="A8" s="21" t="s">
        <v>35</v>
      </c>
      <c r="B8" s="19">
        <v>20.0</v>
      </c>
      <c r="C8" s="16" t="s">
        <v>301</v>
      </c>
      <c r="E8" s="21" t="s">
        <v>42</v>
      </c>
      <c r="F8" s="19">
        <v>20.0</v>
      </c>
      <c r="G8" s="16" t="s">
        <v>301</v>
      </c>
      <c r="I8" s="11">
        <v>5.0</v>
      </c>
      <c r="J8" s="16" t="s">
        <v>293</v>
      </c>
      <c r="K8" s="16" t="s">
        <v>20</v>
      </c>
    </row>
    <row r="9" ht="14.25" customHeight="1">
      <c r="A9" s="21" t="s">
        <v>116</v>
      </c>
      <c r="B9" s="19">
        <v>-30.0</v>
      </c>
      <c r="C9" s="16" t="s">
        <v>303</v>
      </c>
      <c r="E9" s="21" t="s">
        <v>304</v>
      </c>
      <c r="F9" s="19">
        <v>60.0</v>
      </c>
      <c r="G9" s="16" t="s">
        <v>305</v>
      </c>
      <c r="I9" s="11">
        <v>3.0</v>
      </c>
      <c r="J9" s="16" t="s">
        <v>39</v>
      </c>
      <c r="K9" s="16" t="s">
        <v>20</v>
      </c>
    </row>
    <row r="10" ht="14.25" customHeight="1">
      <c r="A10" s="21" t="s">
        <v>139</v>
      </c>
      <c r="B10" s="18">
        <v>-30.0</v>
      </c>
      <c r="C10" s="16" t="s">
        <v>303</v>
      </c>
      <c r="E10" s="21" t="s">
        <v>41</v>
      </c>
      <c r="F10" s="19">
        <v>20.0</v>
      </c>
      <c r="G10" s="21" t="s">
        <v>306</v>
      </c>
      <c r="I10" s="11">
        <v>8.0</v>
      </c>
      <c r="J10" s="11" t="s">
        <v>43</v>
      </c>
      <c r="K10" s="16" t="s">
        <v>20</v>
      </c>
    </row>
    <row r="11" ht="14.25" customHeight="1">
      <c r="A11" s="21" t="s">
        <v>17</v>
      </c>
      <c r="B11" s="19">
        <v>50.0</v>
      </c>
      <c r="C11" s="16" t="s">
        <v>267</v>
      </c>
      <c r="E11" s="21" t="s">
        <v>26</v>
      </c>
      <c r="F11" s="19">
        <v>90.0</v>
      </c>
      <c r="G11" s="21" t="s">
        <v>308</v>
      </c>
      <c r="I11" s="11">
        <v>9.0</v>
      </c>
      <c r="J11" s="29" t="s">
        <v>210</v>
      </c>
      <c r="K11" s="16"/>
    </row>
    <row r="12" ht="14.25" customHeight="1">
      <c r="A12" s="21" t="s">
        <v>53</v>
      </c>
      <c r="B12" s="18">
        <v>20.0</v>
      </c>
      <c r="C12" s="16" t="s">
        <v>301</v>
      </c>
      <c r="E12" s="21" t="s">
        <v>74</v>
      </c>
      <c r="F12" s="19">
        <v>90.0</v>
      </c>
      <c r="G12" s="21" t="s">
        <v>308</v>
      </c>
      <c r="I12" s="11">
        <v>10.0</v>
      </c>
      <c r="J12" s="16" t="s">
        <v>28</v>
      </c>
      <c r="K12" s="16"/>
    </row>
    <row r="13" ht="14.25" customHeight="1">
      <c r="A13" s="21" t="s">
        <v>311</v>
      </c>
      <c r="B13" s="19">
        <v>81.0</v>
      </c>
      <c r="C13" s="16" t="s">
        <v>301</v>
      </c>
      <c r="E13" s="21" t="s">
        <v>28</v>
      </c>
      <c r="F13" s="19">
        <v>80.0</v>
      </c>
      <c r="G13" s="21" t="s">
        <v>309</v>
      </c>
      <c r="I13" s="11">
        <v>11.0</v>
      </c>
      <c r="J13" s="20" t="s">
        <v>56</v>
      </c>
      <c r="K13" s="16"/>
    </row>
    <row r="14" ht="14.25" customHeight="1">
      <c r="A14" s="34" t="s">
        <v>77</v>
      </c>
      <c r="B14" s="38">
        <v>-950.0</v>
      </c>
      <c r="C14" s="34" t="s">
        <v>313</v>
      </c>
      <c r="E14" s="21" t="s">
        <v>17</v>
      </c>
      <c r="F14" s="19">
        <v>50.0</v>
      </c>
      <c r="G14" s="21" t="s">
        <v>308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60</v>
      </c>
      <c r="B15" s="18">
        <v>-175.0</v>
      </c>
      <c r="C15" s="16" t="s">
        <v>316</v>
      </c>
      <c r="D15" s="39"/>
      <c r="E15" s="21" t="s">
        <v>56</v>
      </c>
      <c r="F15" s="19">
        <v>90.0</v>
      </c>
      <c r="G15" s="21" t="s">
        <v>308</v>
      </c>
      <c r="I15" s="11">
        <v>14.0</v>
      </c>
      <c r="J15" s="11" t="s">
        <v>74</v>
      </c>
      <c r="K15" s="16"/>
    </row>
    <row r="16" ht="14.25" customHeight="1">
      <c r="A16" s="21" t="s">
        <v>39</v>
      </c>
      <c r="B16" s="19">
        <v>110.0</v>
      </c>
      <c r="C16" s="16" t="s">
        <v>318</v>
      </c>
      <c r="E16" s="21" t="s">
        <v>312</v>
      </c>
      <c r="F16" s="19">
        <v>20.0</v>
      </c>
      <c r="G16" s="21" t="s">
        <v>307</v>
      </c>
      <c r="K16" s="57"/>
    </row>
    <row r="17" ht="14.25" customHeight="1">
      <c r="A17" s="47" t="s">
        <v>42</v>
      </c>
      <c r="B17" s="18">
        <v>90.0</v>
      </c>
      <c r="C17" s="16" t="s">
        <v>299</v>
      </c>
      <c r="E17" s="21" t="s">
        <v>315</v>
      </c>
      <c r="F17" s="19">
        <v>20.0</v>
      </c>
      <c r="G17" s="21" t="s">
        <v>307</v>
      </c>
    </row>
    <row r="18" ht="14.25" customHeight="1">
      <c r="A18" s="21" t="s">
        <v>223</v>
      </c>
      <c r="B18" s="19">
        <v>20.0</v>
      </c>
      <c r="C18" s="16" t="s">
        <v>280</v>
      </c>
      <c r="E18" s="21" t="s">
        <v>131</v>
      </c>
      <c r="F18" s="19">
        <v>20.0</v>
      </c>
      <c r="G18" s="21" t="s">
        <v>307</v>
      </c>
    </row>
    <row r="19" ht="14.25" customHeight="1">
      <c r="A19" s="45" t="s">
        <v>43</v>
      </c>
      <c r="B19" s="18">
        <v>90.0</v>
      </c>
      <c r="C19" s="16" t="s">
        <v>299</v>
      </c>
      <c r="E19" s="21" t="s">
        <v>60</v>
      </c>
      <c r="F19" s="19">
        <v>20.0</v>
      </c>
      <c r="G19" s="21" t="s">
        <v>307</v>
      </c>
    </row>
    <row r="20" ht="14.25" customHeight="1">
      <c r="A20" s="31" t="s">
        <v>293</v>
      </c>
      <c r="B20" s="18">
        <v>110.0</v>
      </c>
      <c r="C20" s="16" t="s">
        <v>324</v>
      </c>
    </row>
    <row r="21" ht="14.25" customHeight="1">
      <c r="A21" s="21" t="s">
        <v>74</v>
      </c>
      <c r="B21" s="19">
        <v>90.0</v>
      </c>
      <c r="C21" s="21" t="s">
        <v>267</v>
      </c>
      <c r="E21" s="11" t="s">
        <v>46</v>
      </c>
      <c r="F21" s="12">
        <f>SUM(F3:F20)</f>
        <v>880</v>
      </c>
    </row>
    <row r="22" ht="14.25" customHeight="1">
      <c r="A22" s="21" t="s">
        <v>213</v>
      </c>
      <c r="B22" s="19">
        <v>20.0</v>
      </c>
      <c r="C22" s="21" t="s">
        <v>325</v>
      </c>
    </row>
    <row r="23" ht="14.25" customHeight="1">
      <c r="A23" s="21" t="s">
        <v>116</v>
      </c>
      <c r="B23" s="19">
        <v>-30.0</v>
      </c>
      <c r="C23" s="21" t="s">
        <v>325</v>
      </c>
    </row>
    <row r="24" ht="14.25" customHeight="1">
      <c r="A24" s="21" t="s">
        <v>139</v>
      </c>
      <c r="B24" s="18">
        <v>-30.0</v>
      </c>
      <c r="C24" s="21" t="s">
        <v>325</v>
      </c>
    </row>
    <row r="25" ht="14.25" customHeight="1">
      <c r="A25" s="21" t="s">
        <v>65</v>
      </c>
      <c r="B25" s="19">
        <v>-30.0</v>
      </c>
      <c r="C25" s="21" t="s">
        <v>306</v>
      </c>
      <c r="E25" s="64" t="s">
        <v>301</v>
      </c>
      <c r="F25" s="3"/>
    </row>
    <row r="26" ht="14.25" customHeight="1">
      <c r="A26" s="21" t="s">
        <v>139</v>
      </c>
      <c r="B26" s="18">
        <v>-30.0</v>
      </c>
      <c r="C26" s="21" t="s">
        <v>306</v>
      </c>
      <c r="E26" s="21" t="s">
        <v>217</v>
      </c>
      <c r="F26" s="21" t="s">
        <v>20</v>
      </c>
    </row>
    <row r="27" ht="14.25" customHeight="1">
      <c r="A27" s="21" t="s">
        <v>329</v>
      </c>
      <c r="B27" s="18">
        <v>-35.0</v>
      </c>
      <c r="C27" s="16" t="s">
        <v>301</v>
      </c>
      <c r="E27" s="21" t="s">
        <v>42</v>
      </c>
      <c r="F27" s="50"/>
    </row>
    <row r="28" ht="14.25" customHeight="1">
      <c r="A28" s="21" t="s">
        <v>287</v>
      </c>
      <c r="B28" s="18">
        <v>20.0</v>
      </c>
      <c r="C28" s="21" t="s">
        <v>325</v>
      </c>
      <c r="E28" s="21" t="s">
        <v>330</v>
      </c>
      <c r="F28" s="21" t="s">
        <v>20</v>
      </c>
    </row>
    <row r="29" ht="14.25" customHeight="1">
      <c r="A29" s="21" t="s">
        <v>131</v>
      </c>
      <c r="B29" s="19">
        <v>40.0</v>
      </c>
      <c r="C29" s="21" t="s">
        <v>331</v>
      </c>
      <c r="E29" s="21" t="s">
        <v>332</v>
      </c>
      <c r="F29" s="21" t="s">
        <v>20</v>
      </c>
    </row>
    <row r="30" ht="14.25" customHeight="1">
      <c r="A30" s="21" t="s">
        <v>56</v>
      </c>
      <c r="B30" s="19">
        <v>90.0</v>
      </c>
      <c r="C30" s="21" t="s">
        <v>267</v>
      </c>
      <c r="E30" s="21" t="s">
        <v>41</v>
      </c>
      <c r="F30" s="21" t="s">
        <v>20</v>
      </c>
    </row>
    <row r="31" ht="14.25" customHeight="1">
      <c r="A31" s="21" t="s">
        <v>19</v>
      </c>
      <c r="B31" s="19">
        <v>90.0</v>
      </c>
      <c r="C31" s="16" t="s">
        <v>299</v>
      </c>
      <c r="E31" s="21" t="s">
        <v>39</v>
      </c>
      <c r="F31" s="21" t="s">
        <v>20</v>
      </c>
    </row>
    <row r="32" ht="14.25" customHeight="1">
      <c r="A32" s="21" t="s">
        <v>19</v>
      </c>
      <c r="B32" s="19">
        <v>20.0</v>
      </c>
      <c r="C32" s="16" t="s">
        <v>301</v>
      </c>
      <c r="E32" s="21" t="s">
        <v>311</v>
      </c>
      <c r="F32" s="21" t="s">
        <v>20</v>
      </c>
    </row>
    <row r="33" ht="14.25" customHeight="1">
      <c r="A33" s="21" t="s">
        <v>26</v>
      </c>
      <c r="B33" s="19">
        <v>80.0</v>
      </c>
      <c r="C33" s="21" t="s">
        <v>336</v>
      </c>
      <c r="E33" s="21" t="s">
        <v>293</v>
      </c>
      <c r="F33" s="21" t="s">
        <v>20</v>
      </c>
    </row>
    <row r="34" ht="14.25" customHeight="1">
      <c r="A34" s="21" t="s">
        <v>339</v>
      </c>
      <c r="B34" s="19">
        <v>20.0</v>
      </c>
      <c r="C34" s="21" t="s">
        <v>306</v>
      </c>
      <c r="E34" s="21" t="s">
        <v>35</v>
      </c>
      <c r="F34" s="21" t="s">
        <v>20</v>
      </c>
    </row>
    <row r="35" ht="14.25" customHeight="1">
      <c r="A35" s="21" t="s">
        <v>65</v>
      </c>
      <c r="B35" s="19">
        <v>-30.0</v>
      </c>
      <c r="C35" s="21" t="s">
        <v>340</v>
      </c>
      <c r="E35" s="21" t="s">
        <v>26</v>
      </c>
      <c r="F35" s="21" t="s">
        <v>20</v>
      </c>
    </row>
    <row r="36" ht="14.25" customHeight="1">
      <c r="A36" s="21" t="s">
        <v>341</v>
      </c>
      <c r="B36" s="18">
        <v>-30.0</v>
      </c>
      <c r="C36" s="21" t="s">
        <v>307</v>
      </c>
      <c r="E36" s="21" t="s">
        <v>197</v>
      </c>
      <c r="F36" s="50"/>
    </row>
    <row r="37" ht="14.25" customHeight="1">
      <c r="A37" s="21" t="s">
        <v>328</v>
      </c>
      <c r="B37" s="19">
        <v>20.0</v>
      </c>
      <c r="C37" s="21" t="s">
        <v>307</v>
      </c>
      <c r="E37" s="21" t="s">
        <v>343</v>
      </c>
      <c r="F37" s="21" t="s">
        <v>20</v>
      </c>
    </row>
    <row r="38" ht="14.25" customHeight="1">
      <c r="A38" s="21" t="s">
        <v>328</v>
      </c>
      <c r="B38" s="19">
        <v>20.0</v>
      </c>
      <c r="C38" s="21" t="s">
        <v>306</v>
      </c>
    </row>
    <row r="39" ht="14.25" customHeight="1">
      <c r="A39" s="21" t="s">
        <v>187</v>
      </c>
      <c r="B39" s="19">
        <v>20.0</v>
      </c>
      <c r="C39" s="21" t="s">
        <v>306</v>
      </c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892.47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4">
    <mergeCell ref="A1:C1"/>
    <mergeCell ref="E1:G1"/>
    <mergeCell ref="I1:K1"/>
    <mergeCell ref="E25:F2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298</v>
      </c>
      <c r="B1" s="2"/>
      <c r="C1" s="3"/>
      <c r="E1" s="4" t="s">
        <v>1</v>
      </c>
      <c r="F1" s="2"/>
      <c r="G1" s="3"/>
      <c r="I1" s="1" t="s">
        <v>300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0">
        <v>892.47</v>
      </c>
      <c r="C3" s="14" t="s">
        <v>302</v>
      </c>
      <c r="E3" s="21" t="s">
        <v>180</v>
      </c>
      <c r="F3" s="19">
        <v>20.0</v>
      </c>
      <c r="G3" s="16" t="s">
        <v>181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75</v>
      </c>
      <c r="B4" s="19">
        <v>20.0</v>
      </c>
      <c r="C4" s="16" t="s">
        <v>163</v>
      </c>
      <c r="E4" s="21" t="s">
        <v>32</v>
      </c>
      <c r="F4" s="19">
        <v>200.0</v>
      </c>
      <c r="G4" s="21" t="s">
        <v>206</v>
      </c>
      <c r="I4" s="11">
        <v>2.0</v>
      </c>
      <c r="J4" s="11" t="s">
        <v>26</v>
      </c>
      <c r="K4" s="16"/>
    </row>
    <row r="5" ht="14.25" customHeight="1">
      <c r="A5" s="21" t="s">
        <v>33</v>
      </c>
      <c r="B5" s="19">
        <v>90.0</v>
      </c>
      <c r="C5" s="16" t="s">
        <v>27</v>
      </c>
      <c r="E5" s="21" t="s">
        <v>37</v>
      </c>
      <c r="F5" s="19">
        <v>20.0</v>
      </c>
      <c r="G5" s="21" t="s">
        <v>277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187</v>
      </c>
      <c r="B6" s="19">
        <v>20.0</v>
      </c>
      <c r="C6" s="21" t="s">
        <v>307</v>
      </c>
      <c r="E6" s="21" t="s">
        <v>304</v>
      </c>
      <c r="F6" s="19">
        <v>60.0</v>
      </c>
      <c r="G6" s="16" t="s">
        <v>305</v>
      </c>
      <c r="I6" s="11">
        <v>7.0</v>
      </c>
      <c r="J6" s="16" t="s">
        <v>183</v>
      </c>
      <c r="K6" s="16"/>
    </row>
    <row r="7" ht="14.25" customHeight="1">
      <c r="A7" s="21" t="s">
        <v>28</v>
      </c>
      <c r="B7" s="19">
        <v>70.0</v>
      </c>
      <c r="C7" s="21" t="s">
        <v>309</v>
      </c>
      <c r="E7" s="21" t="s">
        <v>26</v>
      </c>
      <c r="F7" s="19">
        <v>180.0</v>
      </c>
      <c r="G7" s="21" t="s">
        <v>310</v>
      </c>
      <c r="I7" s="11">
        <v>13.0</v>
      </c>
      <c r="J7" s="11" t="s">
        <v>53</v>
      </c>
      <c r="K7" s="16" t="s">
        <v>20</v>
      </c>
    </row>
    <row r="8" ht="14.25" customHeight="1">
      <c r="A8" s="21" t="s">
        <v>53</v>
      </c>
      <c r="B8" s="19">
        <v>90.0</v>
      </c>
      <c r="C8" s="16" t="s">
        <v>27</v>
      </c>
      <c r="E8" s="21" t="s">
        <v>56</v>
      </c>
      <c r="F8" s="19">
        <v>180.0</v>
      </c>
      <c r="G8" s="21" t="s">
        <v>310</v>
      </c>
      <c r="I8" s="11">
        <v>5.0</v>
      </c>
      <c r="J8" s="16" t="s">
        <v>293</v>
      </c>
      <c r="K8" s="16" t="s">
        <v>20</v>
      </c>
    </row>
    <row r="9" ht="14.25" customHeight="1">
      <c r="A9" s="21" t="s">
        <v>39</v>
      </c>
      <c r="B9" s="19">
        <v>90.0</v>
      </c>
      <c r="C9" s="16" t="s">
        <v>27</v>
      </c>
      <c r="E9" s="21" t="s">
        <v>312</v>
      </c>
      <c r="F9" s="19">
        <v>20.0</v>
      </c>
      <c r="G9" s="21" t="s">
        <v>307</v>
      </c>
      <c r="I9" s="11">
        <v>3.0</v>
      </c>
      <c r="J9" s="16" t="s">
        <v>39</v>
      </c>
      <c r="K9" s="16" t="s">
        <v>20</v>
      </c>
    </row>
    <row r="10" ht="14.25" customHeight="1">
      <c r="A10" s="21" t="s">
        <v>41</v>
      </c>
      <c r="B10" s="18">
        <v>110.0</v>
      </c>
      <c r="C10" s="16" t="s">
        <v>314</v>
      </c>
      <c r="E10" s="21" t="s">
        <v>315</v>
      </c>
      <c r="F10" s="19">
        <v>20.0</v>
      </c>
      <c r="G10" s="21" t="s">
        <v>307</v>
      </c>
      <c r="I10" s="11">
        <v>8.0</v>
      </c>
      <c r="J10" s="11" t="s">
        <v>43</v>
      </c>
      <c r="K10" s="16"/>
    </row>
    <row r="11" ht="14.25" customHeight="1">
      <c r="A11" s="21" t="s">
        <v>42</v>
      </c>
      <c r="B11" s="19">
        <v>90.0</v>
      </c>
      <c r="C11" s="16" t="s">
        <v>27</v>
      </c>
      <c r="E11" s="21" t="s">
        <v>131</v>
      </c>
      <c r="F11" s="19">
        <v>40.0</v>
      </c>
      <c r="G11" s="21" t="s">
        <v>317</v>
      </c>
      <c r="I11" s="11">
        <v>9.0</v>
      </c>
      <c r="J11" s="29" t="s">
        <v>41</v>
      </c>
      <c r="K11" s="16" t="s">
        <v>20</v>
      </c>
    </row>
    <row r="12" ht="14.25" customHeight="1">
      <c r="A12" s="21" t="s">
        <v>126</v>
      </c>
      <c r="B12" s="18">
        <v>20.0</v>
      </c>
      <c r="C12" s="16" t="s">
        <v>319</v>
      </c>
      <c r="E12" s="21" t="s">
        <v>320</v>
      </c>
      <c r="F12" s="19">
        <v>20.0</v>
      </c>
      <c r="G12" s="20" t="s">
        <v>321</v>
      </c>
      <c r="I12" s="11">
        <v>10.0</v>
      </c>
      <c r="J12" s="16" t="s">
        <v>28</v>
      </c>
      <c r="K12" s="16" t="s">
        <v>20</v>
      </c>
    </row>
    <row r="13" ht="14.25" customHeight="1">
      <c r="A13" s="21" t="s">
        <v>74</v>
      </c>
      <c r="B13" s="19">
        <v>90.0</v>
      </c>
      <c r="C13" s="21" t="s">
        <v>308</v>
      </c>
      <c r="E13" s="21" t="s">
        <v>322</v>
      </c>
      <c r="F13" s="19">
        <v>20.0</v>
      </c>
      <c r="G13" s="20" t="s">
        <v>321</v>
      </c>
      <c r="I13" s="11">
        <v>11.0</v>
      </c>
      <c r="J13" s="20" t="s">
        <v>56</v>
      </c>
      <c r="K13" s="16"/>
    </row>
    <row r="14" ht="14.25" customHeight="1">
      <c r="A14" s="34" t="s">
        <v>77</v>
      </c>
      <c r="B14" s="38">
        <v>-950.0</v>
      </c>
      <c r="C14" s="34" t="s">
        <v>323</v>
      </c>
      <c r="E14" s="21" t="s">
        <v>19</v>
      </c>
      <c r="F14" s="19">
        <v>90.0</v>
      </c>
      <c r="G14" s="16" t="s">
        <v>27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65</v>
      </c>
      <c r="B15" s="18">
        <v>-30.0</v>
      </c>
      <c r="C15" s="16" t="s">
        <v>319</v>
      </c>
      <c r="D15" s="39"/>
      <c r="E15" s="21" t="s">
        <v>17</v>
      </c>
      <c r="F15" s="19">
        <v>50.0</v>
      </c>
      <c r="G15" s="16" t="s">
        <v>27</v>
      </c>
      <c r="I15" s="11">
        <v>14.0</v>
      </c>
      <c r="J15" s="11" t="s">
        <v>74</v>
      </c>
      <c r="K15" s="16"/>
    </row>
    <row r="16" ht="14.25" customHeight="1">
      <c r="A16" s="22" t="s">
        <v>164</v>
      </c>
      <c r="B16" s="63">
        <v>-30.0</v>
      </c>
      <c r="C16" s="20" t="s">
        <v>319</v>
      </c>
      <c r="E16" s="21" t="s">
        <v>43</v>
      </c>
      <c r="F16" s="19">
        <v>90.0</v>
      </c>
      <c r="G16" s="16" t="s">
        <v>27</v>
      </c>
      <c r="I16" s="21">
        <v>6.0</v>
      </c>
      <c r="J16" s="21" t="s">
        <v>60</v>
      </c>
      <c r="K16" s="16" t="s">
        <v>210</v>
      </c>
    </row>
    <row r="17" ht="14.25" customHeight="1">
      <c r="A17" s="47" t="s">
        <v>326</v>
      </c>
      <c r="B17" s="18">
        <v>20.0</v>
      </c>
      <c r="C17" s="16" t="s">
        <v>327</v>
      </c>
      <c r="E17" s="21" t="s">
        <v>74</v>
      </c>
      <c r="F17" s="19">
        <v>90.0</v>
      </c>
      <c r="G17" s="16" t="s">
        <v>27</v>
      </c>
    </row>
    <row r="18" ht="14.25" customHeight="1">
      <c r="A18" s="21" t="s">
        <v>116</v>
      </c>
      <c r="B18" s="63">
        <v>-30.0</v>
      </c>
      <c r="C18" s="20" t="s">
        <v>327</v>
      </c>
    </row>
    <row r="19" ht="14.25" customHeight="1">
      <c r="A19" s="45" t="s">
        <v>328</v>
      </c>
      <c r="B19" s="18">
        <v>20.0</v>
      </c>
      <c r="C19" s="16" t="s">
        <v>319</v>
      </c>
    </row>
    <row r="20" ht="14.25" customHeight="1">
      <c r="A20" s="21" t="s">
        <v>60</v>
      </c>
      <c r="B20" s="19">
        <v>20.0</v>
      </c>
      <c r="C20" s="21" t="s">
        <v>307</v>
      </c>
      <c r="E20" s="11" t="s">
        <v>46</v>
      </c>
      <c r="F20" s="12">
        <f>SUM(F3:F11)</f>
        <v>740</v>
      </c>
    </row>
    <row r="21" ht="14.25" customHeight="1">
      <c r="A21" s="21" t="s">
        <v>269</v>
      </c>
      <c r="B21" s="19">
        <v>40.0</v>
      </c>
      <c r="C21" s="21" t="s">
        <v>276</v>
      </c>
    </row>
    <row r="22" ht="14.25" customHeight="1">
      <c r="A22" s="21" t="s">
        <v>187</v>
      </c>
      <c r="B22" s="18">
        <v>20.0</v>
      </c>
      <c r="C22" s="16" t="s">
        <v>319</v>
      </c>
    </row>
    <row r="23" ht="14.25" customHeight="1">
      <c r="A23" s="21" t="s">
        <v>28</v>
      </c>
      <c r="B23" s="19">
        <v>100.0</v>
      </c>
      <c r="C23" s="21" t="s">
        <v>334</v>
      </c>
    </row>
    <row r="24" ht="14.25" customHeight="1">
      <c r="A24" s="21" t="s">
        <v>335</v>
      </c>
      <c r="B24" s="18">
        <v>40.0</v>
      </c>
      <c r="C24" s="21" t="s">
        <v>338</v>
      </c>
    </row>
    <row r="25" ht="14.25" customHeight="1">
      <c r="A25" s="21" t="s">
        <v>126</v>
      </c>
      <c r="B25" s="19">
        <v>20.0</v>
      </c>
      <c r="C25" s="21" t="s">
        <v>338</v>
      </c>
    </row>
    <row r="26" ht="14.25" customHeight="1">
      <c r="A26" s="21" t="s">
        <v>95</v>
      </c>
      <c r="B26" s="19">
        <v>20.0</v>
      </c>
      <c r="C26" s="21" t="s">
        <v>338</v>
      </c>
    </row>
    <row r="27" ht="14.25" customHeight="1">
      <c r="A27" s="21" t="s">
        <v>116</v>
      </c>
      <c r="B27" s="18">
        <v>-30.0</v>
      </c>
      <c r="C27" s="21" t="s">
        <v>338</v>
      </c>
    </row>
    <row r="28" ht="14.25" customHeight="1">
      <c r="A28" s="21" t="s">
        <v>293</v>
      </c>
      <c r="B28" s="18">
        <v>90.0</v>
      </c>
      <c r="C28" s="16" t="s">
        <v>27</v>
      </c>
    </row>
    <row r="29" ht="14.25" customHeight="1">
      <c r="A29" s="21" t="s">
        <v>17</v>
      </c>
      <c r="B29" s="19">
        <v>50.0</v>
      </c>
      <c r="C29" s="21" t="s">
        <v>308</v>
      </c>
    </row>
    <row r="30" ht="14.25" customHeight="1">
      <c r="A30" s="19" t="s">
        <v>187</v>
      </c>
      <c r="B30" s="19">
        <v>20.0</v>
      </c>
      <c r="C30" s="21" t="s">
        <v>338</v>
      </c>
    </row>
    <row r="31" ht="14.25" customHeight="1">
      <c r="A31" s="21" t="s">
        <v>116</v>
      </c>
      <c r="B31" s="63">
        <v>-30.0</v>
      </c>
      <c r="C31" s="20" t="s">
        <v>321</v>
      </c>
    </row>
    <row r="32" ht="14.25" customHeight="1">
      <c r="A32" s="21" t="s">
        <v>164</v>
      </c>
      <c r="B32" s="63">
        <v>-30.0</v>
      </c>
      <c r="C32" s="20" t="s">
        <v>321</v>
      </c>
    </row>
    <row r="33" ht="14.25" customHeight="1">
      <c r="A33" s="21" t="s">
        <v>97</v>
      </c>
      <c r="B33" s="19">
        <v>40.0</v>
      </c>
      <c r="C33" s="20" t="s">
        <v>344</v>
      </c>
    </row>
    <row r="34" ht="14.25" customHeight="1">
      <c r="A34" s="21" t="s">
        <v>97</v>
      </c>
      <c r="B34" s="19">
        <v>20.0</v>
      </c>
      <c r="C34" s="21" t="s">
        <v>345</v>
      </c>
    </row>
    <row r="35" ht="14.25" customHeight="1">
      <c r="A35" s="21" t="s">
        <v>33</v>
      </c>
      <c r="B35" s="19">
        <v>20.0</v>
      </c>
      <c r="C35" s="21" t="s">
        <v>345</v>
      </c>
    </row>
    <row r="36" ht="14.25" customHeight="1">
      <c r="A36" s="21" t="s">
        <v>41</v>
      </c>
      <c r="B36" s="19">
        <v>20.0</v>
      </c>
      <c r="C36" s="21" t="s">
        <v>345</v>
      </c>
    </row>
    <row r="37" ht="14.25" customHeight="1">
      <c r="A37" s="21"/>
      <c r="B37" s="19"/>
      <c r="C37" s="16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1012.47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333</v>
      </c>
      <c r="B1" s="2"/>
      <c r="C1" s="3"/>
      <c r="E1" s="4" t="s">
        <v>1</v>
      </c>
      <c r="F1" s="2"/>
      <c r="G1" s="3"/>
      <c r="I1" s="1" t="s">
        <v>337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 t="s">
        <v>10</v>
      </c>
      <c r="J2" s="8" t="s">
        <v>4</v>
      </c>
      <c r="K2" s="8" t="s">
        <v>12</v>
      </c>
    </row>
    <row r="3" ht="14.25" customHeight="1">
      <c r="A3" s="9" t="s">
        <v>13</v>
      </c>
      <c r="B3" s="10">
        <v>1012.47</v>
      </c>
      <c r="C3" s="14" t="s">
        <v>342</v>
      </c>
      <c r="E3" s="21" t="s">
        <v>180</v>
      </c>
      <c r="F3" s="19">
        <v>20.0</v>
      </c>
      <c r="G3" s="16" t="s">
        <v>181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43</v>
      </c>
      <c r="B4" s="19">
        <v>90.0</v>
      </c>
      <c r="C4" s="16" t="s">
        <v>27</v>
      </c>
      <c r="E4" s="21" t="s">
        <v>32</v>
      </c>
      <c r="F4" s="19">
        <v>200.0</v>
      </c>
      <c r="G4" s="21" t="s">
        <v>206</v>
      </c>
      <c r="I4" s="11">
        <v>2.0</v>
      </c>
      <c r="J4" s="11" t="s">
        <v>26</v>
      </c>
      <c r="K4" s="16"/>
    </row>
    <row r="5" ht="14.25" customHeight="1">
      <c r="A5" s="21" t="s">
        <v>26</v>
      </c>
      <c r="B5" s="19">
        <v>180.0</v>
      </c>
      <c r="C5" s="21" t="s">
        <v>310</v>
      </c>
      <c r="E5" s="21" t="s">
        <v>37</v>
      </c>
      <c r="F5" s="19">
        <v>20.0</v>
      </c>
      <c r="G5" s="21" t="s">
        <v>277</v>
      </c>
      <c r="I5" s="11">
        <v>4.0</v>
      </c>
      <c r="J5" s="11" t="s">
        <v>33</v>
      </c>
      <c r="K5" s="16" t="s">
        <v>20</v>
      </c>
    </row>
    <row r="6" ht="14.25" customHeight="1">
      <c r="A6" s="21" t="s">
        <v>42</v>
      </c>
      <c r="B6" s="19">
        <v>90.0</v>
      </c>
      <c r="C6" s="16" t="s">
        <v>18</v>
      </c>
      <c r="E6" s="21" t="s">
        <v>304</v>
      </c>
      <c r="F6" s="19">
        <v>60.0</v>
      </c>
      <c r="G6" s="16" t="s">
        <v>305</v>
      </c>
      <c r="I6" s="11">
        <v>7.0</v>
      </c>
      <c r="J6" s="16" t="s">
        <v>183</v>
      </c>
      <c r="K6" s="16"/>
    </row>
    <row r="7" ht="14.25" customHeight="1">
      <c r="A7" s="21" t="s">
        <v>39</v>
      </c>
      <c r="B7" s="19">
        <v>90.0</v>
      </c>
      <c r="C7" s="16" t="s">
        <v>18</v>
      </c>
      <c r="E7" s="21" t="s">
        <v>312</v>
      </c>
      <c r="F7" s="19">
        <v>20.0</v>
      </c>
      <c r="G7" s="21" t="s">
        <v>307</v>
      </c>
      <c r="I7" s="11">
        <v>13.0</v>
      </c>
      <c r="J7" s="11" t="s">
        <v>53</v>
      </c>
      <c r="K7" s="16" t="s">
        <v>20</v>
      </c>
    </row>
    <row r="8" ht="14.25" customHeight="1">
      <c r="A8" s="21" t="s">
        <v>33</v>
      </c>
      <c r="B8" s="19">
        <v>90.0</v>
      </c>
      <c r="C8" s="16" t="s">
        <v>18</v>
      </c>
      <c r="E8" s="21" t="s">
        <v>315</v>
      </c>
      <c r="F8" s="19">
        <v>20.0</v>
      </c>
      <c r="G8" s="21" t="s">
        <v>307</v>
      </c>
      <c r="I8" s="11">
        <v>5.0</v>
      </c>
      <c r="J8" s="16" t="s">
        <v>293</v>
      </c>
      <c r="K8" s="16"/>
    </row>
    <row r="9" ht="14.25" customHeight="1">
      <c r="A9" s="21" t="s">
        <v>346</v>
      </c>
      <c r="B9" s="19">
        <v>20.0</v>
      </c>
      <c r="C9" s="16" t="s">
        <v>347</v>
      </c>
      <c r="E9" s="21" t="s">
        <v>131</v>
      </c>
      <c r="F9" s="19">
        <v>40.0</v>
      </c>
      <c r="G9" s="21" t="s">
        <v>317</v>
      </c>
      <c r="I9" s="11">
        <v>3.0</v>
      </c>
      <c r="J9" s="16" t="s">
        <v>39</v>
      </c>
      <c r="K9" s="16" t="s">
        <v>20</v>
      </c>
    </row>
    <row r="10" ht="14.25" customHeight="1">
      <c r="A10" s="21" t="s">
        <v>348</v>
      </c>
      <c r="B10" s="18">
        <v>20.0</v>
      </c>
      <c r="C10" s="16" t="s">
        <v>347</v>
      </c>
      <c r="E10" s="21" t="s">
        <v>322</v>
      </c>
      <c r="F10" s="19">
        <v>80.0</v>
      </c>
      <c r="G10" s="20" t="s">
        <v>349</v>
      </c>
      <c r="I10" s="11">
        <v>8.0</v>
      </c>
      <c r="J10" s="11" t="s">
        <v>43</v>
      </c>
      <c r="K10" s="16" t="s">
        <v>210</v>
      </c>
    </row>
    <row r="11" ht="14.25" customHeight="1">
      <c r="A11" s="21" t="s">
        <v>350</v>
      </c>
      <c r="B11" s="19">
        <v>-30.0</v>
      </c>
      <c r="C11" s="16" t="s">
        <v>347</v>
      </c>
      <c r="E11" s="21" t="s">
        <v>50</v>
      </c>
      <c r="F11" s="19">
        <v>40.0</v>
      </c>
      <c r="G11" s="16" t="s">
        <v>351</v>
      </c>
      <c r="I11" s="11">
        <v>9.0</v>
      </c>
      <c r="J11" s="29" t="s">
        <v>41</v>
      </c>
      <c r="K11" s="16"/>
    </row>
    <row r="12" ht="14.25" customHeight="1">
      <c r="A12" s="21" t="s">
        <v>352</v>
      </c>
      <c r="B12" s="18">
        <v>-30.0</v>
      </c>
      <c r="C12" s="16" t="s">
        <v>347</v>
      </c>
      <c r="E12" s="21" t="s">
        <v>209</v>
      </c>
      <c r="F12" s="19">
        <v>20.0</v>
      </c>
      <c r="G12" s="16" t="s">
        <v>347</v>
      </c>
      <c r="I12" s="11">
        <v>10.0</v>
      </c>
      <c r="J12" s="16" t="s">
        <v>28</v>
      </c>
      <c r="K12" s="16" t="s">
        <v>20</v>
      </c>
    </row>
    <row r="13" ht="14.25" customHeight="1">
      <c r="A13" s="21" t="s">
        <v>17</v>
      </c>
      <c r="B13" s="19">
        <v>50.0</v>
      </c>
      <c r="C13" s="16" t="s">
        <v>27</v>
      </c>
      <c r="E13" s="21" t="s">
        <v>208</v>
      </c>
      <c r="F13" s="19">
        <v>20.0</v>
      </c>
      <c r="G13" s="21" t="s">
        <v>353</v>
      </c>
      <c r="I13" s="11">
        <v>11.0</v>
      </c>
      <c r="J13" s="20" t="s">
        <v>97</v>
      </c>
      <c r="K13" s="16" t="s">
        <v>210</v>
      </c>
    </row>
    <row r="14" ht="14.25" customHeight="1">
      <c r="A14" s="34" t="s">
        <v>77</v>
      </c>
      <c r="B14" s="38">
        <v>-950.0</v>
      </c>
      <c r="C14" s="34" t="s">
        <v>354</v>
      </c>
      <c r="E14" s="21" t="s">
        <v>355</v>
      </c>
      <c r="F14" s="19">
        <v>20.0</v>
      </c>
      <c r="G14" s="21" t="s">
        <v>353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53</v>
      </c>
      <c r="B15" s="19">
        <v>90.0</v>
      </c>
      <c r="C15" s="16" t="s">
        <v>18</v>
      </c>
      <c r="D15" s="39"/>
      <c r="E15" s="21" t="s">
        <v>356</v>
      </c>
      <c r="F15" s="19">
        <v>20.0</v>
      </c>
      <c r="G15" s="21" t="s">
        <v>353</v>
      </c>
      <c r="I15" s="11">
        <v>14.0</v>
      </c>
      <c r="J15" s="11" t="s">
        <v>74</v>
      </c>
      <c r="K15" s="16" t="s">
        <v>20</v>
      </c>
    </row>
    <row r="16" ht="14.25" customHeight="1">
      <c r="A16" s="21" t="s">
        <v>19</v>
      </c>
      <c r="B16" s="19">
        <v>90.0</v>
      </c>
      <c r="C16" s="16" t="s">
        <v>27</v>
      </c>
      <c r="E16" s="21" t="s">
        <v>26</v>
      </c>
      <c r="F16" s="19">
        <v>90.0</v>
      </c>
      <c r="G16" s="21" t="s">
        <v>18</v>
      </c>
      <c r="I16" s="21">
        <v>6.0</v>
      </c>
      <c r="J16" s="21" t="s">
        <v>60</v>
      </c>
      <c r="K16" s="16" t="s">
        <v>210</v>
      </c>
    </row>
    <row r="17" ht="14.25" customHeight="1">
      <c r="A17" s="47" t="s">
        <v>19</v>
      </c>
      <c r="B17" s="18">
        <v>-95.0</v>
      </c>
      <c r="C17" s="16" t="s">
        <v>357</v>
      </c>
      <c r="E17" s="21" t="s">
        <v>17</v>
      </c>
      <c r="F17" s="19">
        <v>50.0</v>
      </c>
      <c r="G17" s="21" t="s">
        <v>18</v>
      </c>
    </row>
    <row r="18" ht="14.25" customHeight="1">
      <c r="A18" s="21" t="s">
        <v>358</v>
      </c>
      <c r="B18" s="63">
        <v>5.0</v>
      </c>
      <c r="C18" s="20" t="s">
        <v>321</v>
      </c>
      <c r="E18" s="21" t="s">
        <v>41</v>
      </c>
      <c r="F18" s="19">
        <v>90.0</v>
      </c>
      <c r="G18" s="21" t="s">
        <v>18</v>
      </c>
    </row>
    <row r="19" ht="14.25" customHeight="1">
      <c r="A19" s="45" t="s">
        <v>359</v>
      </c>
      <c r="B19" s="18">
        <v>20.0</v>
      </c>
      <c r="C19" s="16" t="s">
        <v>360</v>
      </c>
      <c r="E19" s="21" t="s">
        <v>19</v>
      </c>
      <c r="F19" s="19">
        <v>90.0</v>
      </c>
      <c r="G19" s="21" t="s">
        <v>18</v>
      </c>
    </row>
    <row r="20" ht="14.25" customHeight="1">
      <c r="A20" s="21" t="s">
        <v>361</v>
      </c>
      <c r="B20" s="19">
        <v>-60.0</v>
      </c>
      <c r="C20" s="16" t="s">
        <v>362</v>
      </c>
      <c r="E20" s="21" t="s">
        <v>293</v>
      </c>
      <c r="F20" s="19">
        <v>90.0</v>
      </c>
      <c r="G20" s="21" t="s">
        <v>18</v>
      </c>
    </row>
    <row r="21" ht="14.25" customHeight="1">
      <c r="A21" s="21" t="s">
        <v>363</v>
      </c>
      <c r="B21" s="19">
        <v>-200.0</v>
      </c>
      <c r="C21" s="21" t="s">
        <v>364</v>
      </c>
      <c r="E21" s="21" t="s">
        <v>365</v>
      </c>
      <c r="F21" s="63">
        <v>20.0</v>
      </c>
      <c r="G21" s="16" t="s">
        <v>366</v>
      </c>
    </row>
    <row r="22" ht="14.25" customHeight="1">
      <c r="A22" s="21" t="s">
        <v>361</v>
      </c>
      <c r="B22" s="18">
        <v>-30.0</v>
      </c>
      <c r="C22" s="16" t="s">
        <v>367</v>
      </c>
    </row>
    <row r="23" ht="14.25" customHeight="1">
      <c r="A23" s="21" t="s">
        <v>363</v>
      </c>
      <c r="B23" s="19">
        <v>-52.0</v>
      </c>
      <c r="C23" s="21" t="s">
        <v>368</v>
      </c>
    </row>
    <row r="24" ht="14.25" customHeight="1">
      <c r="A24" s="21" t="s">
        <v>97</v>
      </c>
      <c r="B24" s="18">
        <v>20.0</v>
      </c>
      <c r="C24" s="16" t="s">
        <v>360</v>
      </c>
      <c r="E24" s="11" t="s">
        <v>46</v>
      </c>
      <c r="F24" s="12">
        <f>SUM(F3:F23)</f>
        <v>1010</v>
      </c>
    </row>
    <row r="25" ht="14.25" customHeight="1">
      <c r="A25" s="21" t="s">
        <v>369</v>
      </c>
      <c r="B25" s="19">
        <v>-30.0</v>
      </c>
      <c r="C25" s="21" t="s">
        <v>368</v>
      </c>
    </row>
    <row r="26" ht="14.25" customHeight="1">
      <c r="A26" s="21" t="s">
        <v>350</v>
      </c>
      <c r="B26" s="19">
        <v>-30.0</v>
      </c>
      <c r="C26" s="21" t="s">
        <v>353</v>
      </c>
    </row>
    <row r="27" ht="14.25" customHeight="1">
      <c r="A27" s="21" t="s">
        <v>370</v>
      </c>
      <c r="B27" s="18">
        <v>100.0</v>
      </c>
      <c r="C27" s="21" t="s">
        <v>371</v>
      </c>
      <c r="E27" s="47" t="s">
        <v>372</v>
      </c>
    </row>
    <row r="28" ht="14.25" customHeight="1">
      <c r="A28" s="21" t="s">
        <v>373</v>
      </c>
      <c r="B28" s="18">
        <v>40.0</v>
      </c>
      <c r="C28" s="21" t="s">
        <v>374</v>
      </c>
    </row>
    <row r="29" ht="14.25" customHeight="1">
      <c r="A29" s="21" t="s">
        <v>74</v>
      </c>
      <c r="B29" s="19">
        <v>180.0</v>
      </c>
      <c r="C29" s="16" t="s">
        <v>375</v>
      </c>
    </row>
    <row r="30" ht="14.25" customHeight="1">
      <c r="A30" s="21" t="s">
        <v>350</v>
      </c>
      <c r="B30" s="19">
        <v>-30.0</v>
      </c>
      <c r="C30" s="16" t="s">
        <v>366</v>
      </c>
    </row>
    <row r="31" ht="14.25" customHeight="1">
      <c r="A31" s="21" t="s">
        <v>164</v>
      </c>
      <c r="B31" s="19">
        <v>-30.0</v>
      </c>
      <c r="C31" s="16" t="s">
        <v>366</v>
      </c>
    </row>
    <row r="32" ht="14.25" customHeight="1">
      <c r="A32" s="21" t="s">
        <v>283</v>
      </c>
      <c r="B32" s="63">
        <v>20.0</v>
      </c>
      <c r="C32" s="16" t="s">
        <v>366</v>
      </c>
    </row>
    <row r="33" ht="14.25" customHeight="1">
      <c r="A33" s="21"/>
      <c r="B33" s="19"/>
      <c r="C33" s="20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  <c r="G36" s="65">
        <f>1672.47-1667.47</f>
        <v>5</v>
      </c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640.47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7.14"/>
    <col customWidth="1" min="3" max="3" width="6.57"/>
    <col customWidth="1" min="4" max="4" width="10.71"/>
    <col customWidth="1" min="5" max="5" width="10.57"/>
    <col customWidth="1" min="6" max="6" width="11.57"/>
    <col customWidth="1" min="7" max="7" width="14.71"/>
    <col customWidth="1" min="8" max="8" width="18.14"/>
    <col customWidth="1" min="9" max="9" width="12.57"/>
    <col customWidth="1" min="10" max="10" width="6.0"/>
    <col customWidth="1" min="11" max="11" width="13.29"/>
    <col customWidth="1" min="12" max="28" width="8.71"/>
  </cols>
  <sheetData>
    <row r="1" ht="14.25" customHeight="1">
      <c r="A1" s="6" t="s">
        <v>4</v>
      </c>
      <c r="B1" s="66" t="s">
        <v>376</v>
      </c>
      <c r="C1" s="67"/>
      <c r="D1" s="68" t="s">
        <v>377</v>
      </c>
      <c r="E1" s="6" t="s">
        <v>378</v>
      </c>
      <c r="F1" s="6" t="s">
        <v>379</v>
      </c>
      <c r="G1" s="6" t="s">
        <v>380</v>
      </c>
      <c r="H1" s="69" t="s">
        <v>381</v>
      </c>
      <c r="I1" s="70" t="s">
        <v>382</v>
      </c>
      <c r="J1" s="71"/>
      <c r="K1" s="68" t="s">
        <v>383</v>
      </c>
    </row>
    <row r="2" ht="14.25" customHeight="1">
      <c r="A2" s="72" t="s">
        <v>19</v>
      </c>
      <c r="B2" s="37">
        <v>101.0</v>
      </c>
      <c r="C2" s="67"/>
      <c r="D2" s="73">
        <v>25.0</v>
      </c>
      <c r="E2" s="16">
        <v>9.0</v>
      </c>
      <c r="F2" s="16">
        <v>12.0</v>
      </c>
      <c r="G2" s="11">
        <f t="shared" ref="G2:G45" si="1">D2+E2+F2</f>
        <v>46</v>
      </c>
      <c r="H2" s="74">
        <f t="shared" ref="H2:H45" si="2">K2/(G2*3)</f>
        <v>0.6086956522</v>
      </c>
      <c r="I2" s="75">
        <f t="shared" ref="I2:I34" si="3">B2/G2</f>
        <v>2.195652174</v>
      </c>
      <c r="J2" s="76"/>
      <c r="K2" s="77">
        <f t="shared" ref="K2:K45" si="4">D2*3+E2*1+F2*0</f>
        <v>84</v>
      </c>
      <c r="N2" s="78"/>
    </row>
    <row r="3" ht="14.25" customHeight="1">
      <c r="A3" s="11" t="s">
        <v>74</v>
      </c>
      <c r="B3" s="37">
        <v>18.0</v>
      </c>
      <c r="C3" s="67"/>
      <c r="D3" s="73">
        <v>21.0</v>
      </c>
      <c r="E3" s="16">
        <v>9.0</v>
      </c>
      <c r="F3" s="16">
        <v>12.0</v>
      </c>
      <c r="G3" s="11">
        <f t="shared" si="1"/>
        <v>42</v>
      </c>
      <c r="H3" s="74">
        <f t="shared" si="2"/>
        <v>0.5714285714</v>
      </c>
      <c r="I3" s="75">
        <f t="shared" si="3"/>
        <v>0.4285714286</v>
      </c>
      <c r="J3" s="76"/>
      <c r="K3" s="77">
        <f t="shared" si="4"/>
        <v>72</v>
      </c>
      <c r="N3" s="78"/>
    </row>
    <row r="4" ht="14.25" customHeight="1">
      <c r="A4" s="11" t="s">
        <v>55</v>
      </c>
      <c r="B4" s="37">
        <v>6.0</v>
      </c>
      <c r="C4" s="67"/>
      <c r="D4" s="73">
        <v>18.0</v>
      </c>
      <c r="E4" s="16">
        <v>8.0</v>
      </c>
      <c r="F4" s="16">
        <v>12.0</v>
      </c>
      <c r="G4" s="11">
        <f t="shared" si="1"/>
        <v>38</v>
      </c>
      <c r="H4" s="74">
        <f t="shared" si="2"/>
        <v>0.5438596491</v>
      </c>
      <c r="I4" s="75">
        <f t="shared" si="3"/>
        <v>0.1578947368</v>
      </c>
      <c r="J4" s="76"/>
      <c r="K4" s="77">
        <f t="shared" si="4"/>
        <v>62</v>
      </c>
      <c r="N4" s="78"/>
      <c r="R4" s="36"/>
    </row>
    <row r="5" ht="14.25" customHeight="1">
      <c r="A5" s="11" t="s">
        <v>26</v>
      </c>
      <c r="B5" s="37">
        <v>36.0</v>
      </c>
      <c r="C5" s="67"/>
      <c r="D5" s="73">
        <v>16.0</v>
      </c>
      <c r="E5" s="16">
        <v>9.0</v>
      </c>
      <c r="F5" s="16">
        <v>22.0</v>
      </c>
      <c r="G5" s="11">
        <f t="shared" si="1"/>
        <v>47</v>
      </c>
      <c r="H5" s="74">
        <f t="shared" si="2"/>
        <v>0.4042553191</v>
      </c>
      <c r="I5" s="75">
        <f t="shared" si="3"/>
        <v>0.7659574468</v>
      </c>
      <c r="J5" s="76"/>
      <c r="K5" s="77">
        <f t="shared" si="4"/>
        <v>57</v>
      </c>
      <c r="N5" s="78"/>
    </row>
    <row r="6" ht="14.25" customHeight="1">
      <c r="A6" s="11" t="s">
        <v>60</v>
      </c>
      <c r="B6" s="37">
        <v>34.0</v>
      </c>
      <c r="C6" s="67"/>
      <c r="D6" s="73">
        <v>16.0</v>
      </c>
      <c r="E6" s="16">
        <v>9.0</v>
      </c>
      <c r="F6" s="16">
        <v>17.0</v>
      </c>
      <c r="G6" s="11">
        <f t="shared" si="1"/>
        <v>42</v>
      </c>
      <c r="H6" s="74">
        <f t="shared" si="2"/>
        <v>0.4523809524</v>
      </c>
      <c r="I6" s="75">
        <f t="shared" si="3"/>
        <v>0.8095238095</v>
      </c>
      <c r="J6" s="76"/>
      <c r="K6" s="77">
        <f t="shared" si="4"/>
        <v>57</v>
      </c>
      <c r="N6" s="78"/>
    </row>
    <row r="7" ht="14.25" customHeight="1">
      <c r="A7" s="79" t="s">
        <v>53</v>
      </c>
      <c r="B7" s="37">
        <v>58.0</v>
      </c>
      <c r="C7" s="67"/>
      <c r="D7" s="73">
        <v>15.0</v>
      </c>
      <c r="E7" s="16">
        <v>9.0</v>
      </c>
      <c r="F7" s="16">
        <v>20.0</v>
      </c>
      <c r="G7" s="11">
        <f t="shared" si="1"/>
        <v>44</v>
      </c>
      <c r="H7" s="74">
        <f t="shared" si="2"/>
        <v>0.4090909091</v>
      </c>
      <c r="I7" s="75">
        <f t="shared" si="3"/>
        <v>1.318181818</v>
      </c>
      <c r="J7" s="76"/>
      <c r="K7" s="77">
        <f t="shared" si="4"/>
        <v>54</v>
      </c>
      <c r="N7" s="78"/>
    </row>
    <row r="8" ht="14.25" customHeight="1">
      <c r="A8" s="11" t="s">
        <v>42</v>
      </c>
      <c r="B8" s="37">
        <v>31.0</v>
      </c>
      <c r="C8" s="67"/>
      <c r="D8" s="73">
        <v>15.0</v>
      </c>
      <c r="E8" s="16">
        <v>8.0</v>
      </c>
      <c r="F8" s="16">
        <v>22.0</v>
      </c>
      <c r="G8" s="11">
        <f t="shared" si="1"/>
        <v>45</v>
      </c>
      <c r="H8" s="74">
        <f t="shared" si="2"/>
        <v>0.3925925926</v>
      </c>
      <c r="I8" s="75">
        <f t="shared" si="3"/>
        <v>0.6888888889</v>
      </c>
      <c r="J8" s="76"/>
      <c r="K8" s="77">
        <f t="shared" si="4"/>
        <v>53</v>
      </c>
      <c r="N8" s="78"/>
    </row>
    <row r="9" ht="14.25" customHeight="1">
      <c r="A9" s="80" t="s">
        <v>33</v>
      </c>
      <c r="B9" s="37">
        <v>46.0</v>
      </c>
      <c r="C9" s="67"/>
      <c r="D9" s="73">
        <v>15.0</v>
      </c>
      <c r="E9" s="16">
        <v>7.0</v>
      </c>
      <c r="F9" s="16">
        <v>18.0</v>
      </c>
      <c r="G9" s="11">
        <f t="shared" si="1"/>
        <v>40</v>
      </c>
      <c r="H9" s="74">
        <f t="shared" si="2"/>
        <v>0.4333333333</v>
      </c>
      <c r="I9" s="75">
        <f t="shared" si="3"/>
        <v>1.15</v>
      </c>
      <c r="J9" s="76"/>
      <c r="K9" s="77">
        <f t="shared" si="4"/>
        <v>52</v>
      </c>
      <c r="N9" s="78"/>
    </row>
    <row r="10" ht="14.25" customHeight="1">
      <c r="A10" s="11" t="s">
        <v>28</v>
      </c>
      <c r="B10" s="37">
        <v>14.0</v>
      </c>
      <c r="C10" s="67"/>
      <c r="D10" s="73">
        <v>16.0</v>
      </c>
      <c r="E10" s="16">
        <v>4.0</v>
      </c>
      <c r="F10" s="16">
        <v>11.0</v>
      </c>
      <c r="G10" s="11">
        <f t="shared" si="1"/>
        <v>31</v>
      </c>
      <c r="H10" s="74">
        <f t="shared" si="2"/>
        <v>0.5591397849</v>
      </c>
      <c r="I10" s="75">
        <f t="shared" si="3"/>
        <v>0.4516129032</v>
      </c>
      <c r="J10" s="76"/>
      <c r="K10" s="77">
        <f t="shared" si="4"/>
        <v>52</v>
      </c>
      <c r="N10" s="78"/>
    </row>
    <row r="11" ht="14.25" customHeight="1">
      <c r="A11" s="11" t="s">
        <v>17</v>
      </c>
      <c r="B11" s="37">
        <v>29.0</v>
      </c>
      <c r="C11" s="67"/>
      <c r="D11" s="73">
        <v>15.0</v>
      </c>
      <c r="E11" s="16">
        <v>6.0</v>
      </c>
      <c r="F11" s="16">
        <v>14.0</v>
      </c>
      <c r="G11" s="11">
        <f t="shared" si="1"/>
        <v>35</v>
      </c>
      <c r="H11" s="74">
        <f t="shared" si="2"/>
        <v>0.4857142857</v>
      </c>
      <c r="I11" s="75">
        <f t="shared" si="3"/>
        <v>0.8285714286</v>
      </c>
      <c r="J11" s="76"/>
      <c r="K11" s="77">
        <f t="shared" si="4"/>
        <v>51</v>
      </c>
      <c r="N11" s="78"/>
    </row>
    <row r="12" ht="14.25" customHeight="1">
      <c r="A12" s="11" t="s">
        <v>69</v>
      </c>
      <c r="B12" s="37">
        <v>4.0</v>
      </c>
      <c r="C12" s="67"/>
      <c r="D12" s="73">
        <v>14.0</v>
      </c>
      <c r="E12" s="16">
        <v>6.0</v>
      </c>
      <c r="F12" s="16">
        <v>6.0</v>
      </c>
      <c r="G12" s="11">
        <f t="shared" si="1"/>
        <v>26</v>
      </c>
      <c r="H12" s="74">
        <f t="shared" si="2"/>
        <v>0.6153846154</v>
      </c>
      <c r="I12" s="75">
        <f t="shared" si="3"/>
        <v>0.1538461538</v>
      </c>
      <c r="J12" s="76"/>
      <c r="K12" s="77">
        <f t="shared" si="4"/>
        <v>48</v>
      </c>
      <c r="N12" s="78"/>
    </row>
    <row r="13" ht="14.25" customHeight="1">
      <c r="A13" s="11" t="s">
        <v>43</v>
      </c>
      <c r="B13" s="37">
        <v>15.0</v>
      </c>
      <c r="C13" s="67"/>
      <c r="D13" s="73">
        <v>11.0</v>
      </c>
      <c r="E13" s="16">
        <v>9.0</v>
      </c>
      <c r="F13" s="16">
        <v>24.0</v>
      </c>
      <c r="G13" s="11">
        <f t="shared" si="1"/>
        <v>44</v>
      </c>
      <c r="H13" s="74">
        <f t="shared" si="2"/>
        <v>0.3181818182</v>
      </c>
      <c r="I13" s="75">
        <f t="shared" si="3"/>
        <v>0.3409090909</v>
      </c>
      <c r="J13" s="76"/>
      <c r="K13" s="77">
        <f t="shared" si="4"/>
        <v>42</v>
      </c>
      <c r="N13" s="78"/>
    </row>
    <row r="14" ht="14.25" customHeight="1">
      <c r="A14" s="11" t="s">
        <v>56</v>
      </c>
      <c r="B14" s="37">
        <v>27.0</v>
      </c>
      <c r="C14" s="67"/>
      <c r="D14" s="73">
        <v>11.0</v>
      </c>
      <c r="E14" s="16">
        <v>6.0</v>
      </c>
      <c r="F14" s="16">
        <v>14.0</v>
      </c>
      <c r="G14" s="11">
        <f t="shared" si="1"/>
        <v>31</v>
      </c>
      <c r="H14" s="74">
        <f t="shared" si="2"/>
        <v>0.4193548387</v>
      </c>
      <c r="I14" s="75">
        <f t="shared" si="3"/>
        <v>0.8709677419</v>
      </c>
      <c r="J14" s="76"/>
      <c r="K14" s="77">
        <f t="shared" si="4"/>
        <v>39</v>
      </c>
      <c r="N14" s="78"/>
    </row>
    <row r="15" ht="14.25" customHeight="1">
      <c r="A15" s="16" t="s">
        <v>41</v>
      </c>
      <c r="B15" s="37">
        <v>44.0</v>
      </c>
      <c r="C15" s="67"/>
      <c r="D15" s="73">
        <v>10.0</v>
      </c>
      <c r="E15" s="16">
        <v>6.0</v>
      </c>
      <c r="F15" s="16">
        <v>12.0</v>
      </c>
      <c r="G15" s="11">
        <f t="shared" si="1"/>
        <v>28</v>
      </c>
      <c r="H15" s="74">
        <f t="shared" si="2"/>
        <v>0.4285714286</v>
      </c>
      <c r="I15" s="75">
        <f t="shared" si="3"/>
        <v>1.571428571</v>
      </c>
      <c r="J15" s="76"/>
      <c r="K15" s="77">
        <f t="shared" si="4"/>
        <v>36</v>
      </c>
      <c r="N15" s="78"/>
    </row>
    <row r="16" ht="14.25" customHeight="1">
      <c r="A16" s="11" t="s">
        <v>39</v>
      </c>
      <c r="B16" s="37">
        <v>7.0</v>
      </c>
      <c r="C16" s="67"/>
      <c r="D16" s="73">
        <v>10.0</v>
      </c>
      <c r="E16" s="16">
        <v>4.0</v>
      </c>
      <c r="F16" s="16">
        <v>9.0</v>
      </c>
      <c r="G16" s="11">
        <f t="shared" si="1"/>
        <v>23</v>
      </c>
      <c r="H16" s="74">
        <f t="shared" si="2"/>
        <v>0.4927536232</v>
      </c>
      <c r="I16" s="75">
        <f t="shared" si="3"/>
        <v>0.3043478261</v>
      </c>
      <c r="J16" s="76"/>
      <c r="K16" s="77">
        <f t="shared" si="4"/>
        <v>34</v>
      </c>
      <c r="N16" s="78"/>
    </row>
    <row r="17" ht="14.25" customHeight="1">
      <c r="A17" s="21" t="s">
        <v>32</v>
      </c>
      <c r="B17" s="81">
        <v>13.0</v>
      </c>
      <c r="C17" s="67"/>
      <c r="D17" s="82">
        <v>5.0</v>
      </c>
      <c r="E17" s="21">
        <v>6.0</v>
      </c>
      <c r="F17" s="21">
        <v>5.0</v>
      </c>
      <c r="G17" s="11">
        <f t="shared" si="1"/>
        <v>16</v>
      </c>
      <c r="H17" s="74">
        <f t="shared" si="2"/>
        <v>0.4375</v>
      </c>
      <c r="I17" s="75">
        <f t="shared" si="3"/>
        <v>0.8125</v>
      </c>
      <c r="J17" s="67"/>
      <c r="K17" s="77">
        <f t="shared" si="4"/>
        <v>21</v>
      </c>
      <c r="N17" s="78"/>
    </row>
    <row r="18" ht="14.25" customHeight="1">
      <c r="A18" s="11" t="s">
        <v>80</v>
      </c>
      <c r="B18" s="37">
        <v>12.0</v>
      </c>
      <c r="C18" s="67"/>
      <c r="D18" s="73">
        <v>4.0</v>
      </c>
      <c r="E18" s="16">
        <v>4.0</v>
      </c>
      <c r="F18" s="16">
        <v>5.0</v>
      </c>
      <c r="G18" s="11">
        <f t="shared" si="1"/>
        <v>13</v>
      </c>
      <c r="H18" s="74">
        <f t="shared" si="2"/>
        <v>0.4102564103</v>
      </c>
      <c r="I18" s="75">
        <f t="shared" si="3"/>
        <v>0.9230769231</v>
      </c>
      <c r="J18" s="76"/>
      <c r="K18" s="77">
        <f t="shared" si="4"/>
        <v>16</v>
      </c>
      <c r="N18" s="78"/>
    </row>
    <row r="19" ht="14.25" customHeight="1">
      <c r="A19" s="21" t="s">
        <v>293</v>
      </c>
      <c r="B19" s="81">
        <v>7.0</v>
      </c>
      <c r="C19" s="67"/>
      <c r="D19" s="82">
        <v>5.0</v>
      </c>
      <c r="E19" s="21">
        <v>1.0</v>
      </c>
      <c r="F19" s="21">
        <v>4.0</v>
      </c>
      <c r="G19" s="11">
        <f t="shared" si="1"/>
        <v>10</v>
      </c>
      <c r="H19" s="74">
        <f t="shared" si="2"/>
        <v>0.5333333333</v>
      </c>
      <c r="I19" s="83">
        <f t="shared" si="3"/>
        <v>0.7</v>
      </c>
      <c r="J19" s="67"/>
      <c r="K19" s="77">
        <f t="shared" si="4"/>
        <v>16</v>
      </c>
      <c r="N19" s="78"/>
    </row>
    <row r="20" ht="14.25" customHeight="1">
      <c r="A20" s="11" t="s">
        <v>67</v>
      </c>
      <c r="B20" s="84">
        <v>0.0</v>
      </c>
      <c r="C20" s="67"/>
      <c r="D20" s="73">
        <v>5.0</v>
      </c>
      <c r="E20" s="16">
        <v>1.0</v>
      </c>
      <c r="F20" s="16">
        <v>4.0</v>
      </c>
      <c r="G20" s="11">
        <f t="shared" si="1"/>
        <v>10</v>
      </c>
      <c r="H20" s="74">
        <f t="shared" si="2"/>
        <v>0.5333333333</v>
      </c>
      <c r="I20" s="83">
        <f t="shared" si="3"/>
        <v>0</v>
      </c>
      <c r="J20" s="76"/>
      <c r="K20" s="77">
        <f t="shared" si="4"/>
        <v>16</v>
      </c>
      <c r="N20" s="78"/>
    </row>
    <row r="21" ht="14.25" customHeight="1">
      <c r="A21" s="21" t="s">
        <v>126</v>
      </c>
      <c r="B21" s="81">
        <v>13.0</v>
      </c>
      <c r="C21" s="67"/>
      <c r="D21" s="82">
        <v>4.0</v>
      </c>
      <c r="E21" s="21">
        <v>1.0</v>
      </c>
      <c r="F21" s="21">
        <v>5.0</v>
      </c>
      <c r="G21" s="11">
        <f t="shared" si="1"/>
        <v>10</v>
      </c>
      <c r="H21" s="74">
        <f t="shared" si="2"/>
        <v>0.4333333333</v>
      </c>
      <c r="I21" s="75">
        <f t="shared" si="3"/>
        <v>1.3</v>
      </c>
      <c r="J21" s="67"/>
      <c r="K21" s="77">
        <f t="shared" si="4"/>
        <v>13</v>
      </c>
      <c r="N21" s="78"/>
    </row>
    <row r="22" ht="14.25" customHeight="1">
      <c r="A22" s="21" t="s">
        <v>269</v>
      </c>
      <c r="B22" s="81">
        <v>6.0</v>
      </c>
      <c r="C22" s="67"/>
      <c r="D22" s="82">
        <v>3.0</v>
      </c>
      <c r="E22" s="21">
        <v>0.0</v>
      </c>
      <c r="F22" s="21">
        <v>1.0</v>
      </c>
      <c r="G22" s="11">
        <f t="shared" si="1"/>
        <v>4</v>
      </c>
      <c r="H22" s="74">
        <f t="shared" si="2"/>
        <v>0.75</v>
      </c>
      <c r="I22" s="75">
        <f t="shared" si="3"/>
        <v>1.5</v>
      </c>
      <c r="J22" s="67"/>
      <c r="K22" s="77">
        <f t="shared" si="4"/>
        <v>9</v>
      </c>
      <c r="N22" s="78"/>
    </row>
    <row r="23" ht="14.25" customHeight="1">
      <c r="A23" s="21" t="s">
        <v>259</v>
      </c>
      <c r="B23" s="81">
        <v>4.0</v>
      </c>
      <c r="C23" s="67"/>
      <c r="D23" s="82">
        <v>3.0</v>
      </c>
      <c r="E23" s="21">
        <v>0.0</v>
      </c>
      <c r="F23" s="21">
        <v>0.0</v>
      </c>
      <c r="G23" s="11">
        <f t="shared" si="1"/>
        <v>3</v>
      </c>
      <c r="H23" s="74">
        <f t="shared" si="2"/>
        <v>1</v>
      </c>
      <c r="I23" s="83">
        <f t="shared" si="3"/>
        <v>1.333333333</v>
      </c>
      <c r="J23" s="67"/>
      <c r="K23" s="77">
        <f t="shared" si="4"/>
        <v>9</v>
      </c>
      <c r="N23" s="78"/>
    </row>
    <row r="24" ht="14.25" customHeight="1">
      <c r="A24" s="21" t="s">
        <v>384</v>
      </c>
      <c r="B24" s="81">
        <v>5.0</v>
      </c>
      <c r="C24" s="67"/>
      <c r="D24" s="82">
        <v>2.0</v>
      </c>
      <c r="E24" s="21">
        <v>1.0</v>
      </c>
      <c r="F24" s="21">
        <v>0.0</v>
      </c>
      <c r="G24" s="11">
        <f t="shared" si="1"/>
        <v>3</v>
      </c>
      <c r="H24" s="74">
        <f t="shared" si="2"/>
        <v>0.7777777778</v>
      </c>
      <c r="I24" s="75">
        <f t="shared" si="3"/>
        <v>1.666666667</v>
      </c>
      <c r="J24" s="67"/>
      <c r="K24" s="77">
        <f t="shared" si="4"/>
        <v>7</v>
      </c>
      <c r="N24" s="78"/>
    </row>
    <row r="25" ht="14.25" customHeight="1">
      <c r="A25" s="21" t="s">
        <v>237</v>
      </c>
      <c r="B25" s="81">
        <v>5.0</v>
      </c>
      <c r="C25" s="67"/>
      <c r="D25" s="82">
        <v>2.0</v>
      </c>
      <c r="E25" s="21">
        <v>1.0</v>
      </c>
      <c r="F25" s="21">
        <v>1.0</v>
      </c>
      <c r="G25" s="11">
        <f t="shared" si="1"/>
        <v>4</v>
      </c>
      <c r="H25" s="74">
        <f t="shared" si="2"/>
        <v>0.5833333333</v>
      </c>
      <c r="I25" s="75">
        <f t="shared" si="3"/>
        <v>1.25</v>
      </c>
      <c r="J25" s="67"/>
      <c r="K25" s="77">
        <f t="shared" si="4"/>
        <v>7</v>
      </c>
      <c r="N25" s="78"/>
    </row>
    <row r="26" ht="14.25" customHeight="1">
      <c r="A26" s="21" t="s">
        <v>95</v>
      </c>
      <c r="B26" s="81">
        <v>0.0</v>
      </c>
      <c r="C26" s="67"/>
      <c r="D26" s="82">
        <v>2.0</v>
      </c>
      <c r="E26" s="21">
        <v>1.0</v>
      </c>
      <c r="F26" s="21">
        <v>0.0</v>
      </c>
      <c r="G26" s="11">
        <f t="shared" si="1"/>
        <v>3</v>
      </c>
      <c r="H26" s="74">
        <f t="shared" si="2"/>
        <v>0.7777777778</v>
      </c>
      <c r="I26" s="83">
        <f t="shared" si="3"/>
        <v>0</v>
      </c>
      <c r="J26" s="67"/>
      <c r="K26" s="77">
        <f t="shared" si="4"/>
        <v>7</v>
      </c>
      <c r="N26" s="78"/>
    </row>
    <row r="27" ht="14.25" customHeight="1">
      <c r="A27" s="21" t="s">
        <v>385</v>
      </c>
      <c r="B27" s="21">
        <v>8.0</v>
      </c>
      <c r="D27" s="21">
        <v>2.0</v>
      </c>
      <c r="E27" s="21">
        <v>0.0</v>
      </c>
      <c r="F27" s="21">
        <v>1.0</v>
      </c>
      <c r="G27" s="11">
        <f t="shared" si="1"/>
        <v>3</v>
      </c>
      <c r="H27" s="85">
        <f t="shared" si="2"/>
        <v>0.6666666667</v>
      </c>
      <c r="I27" s="86">
        <f t="shared" si="3"/>
        <v>2.666666667</v>
      </c>
      <c r="K27" s="11">
        <f t="shared" si="4"/>
        <v>6</v>
      </c>
    </row>
    <row r="28" ht="14.25" customHeight="1">
      <c r="A28" s="87" t="s">
        <v>213</v>
      </c>
      <c r="B28" s="87">
        <v>4.0</v>
      </c>
      <c r="D28" s="87">
        <v>2.0</v>
      </c>
      <c r="E28" s="87">
        <v>0.0</v>
      </c>
      <c r="F28" s="87">
        <v>0.0</v>
      </c>
      <c r="G28" s="88">
        <f t="shared" si="1"/>
        <v>2</v>
      </c>
      <c r="H28" s="89">
        <f t="shared" si="2"/>
        <v>1</v>
      </c>
      <c r="I28" s="90">
        <f t="shared" si="3"/>
        <v>2</v>
      </c>
      <c r="K28" s="88">
        <f t="shared" si="4"/>
        <v>6</v>
      </c>
    </row>
    <row r="29" ht="14.25" customHeight="1">
      <c r="A29" s="21" t="s">
        <v>386</v>
      </c>
      <c r="B29" s="21">
        <v>4.0</v>
      </c>
      <c r="D29" s="21">
        <v>1.0</v>
      </c>
      <c r="E29" s="21">
        <v>1.0</v>
      </c>
      <c r="F29" s="21">
        <v>2.0</v>
      </c>
      <c r="G29" s="11">
        <f t="shared" si="1"/>
        <v>4</v>
      </c>
      <c r="H29" s="85">
        <f t="shared" si="2"/>
        <v>0.3333333333</v>
      </c>
      <c r="I29" s="91">
        <f t="shared" si="3"/>
        <v>1</v>
      </c>
      <c r="K29" s="11">
        <f t="shared" si="4"/>
        <v>4</v>
      </c>
    </row>
    <row r="30" ht="14.25" customHeight="1">
      <c r="A30" s="21" t="s">
        <v>292</v>
      </c>
      <c r="B30" s="21">
        <v>3.0</v>
      </c>
      <c r="D30" s="21">
        <v>1.0</v>
      </c>
      <c r="E30" s="21">
        <v>1.0</v>
      </c>
      <c r="F30" s="21">
        <v>0.0</v>
      </c>
      <c r="G30" s="11">
        <f t="shared" si="1"/>
        <v>2</v>
      </c>
      <c r="H30" s="85">
        <f t="shared" si="2"/>
        <v>0.6666666667</v>
      </c>
      <c r="I30" s="86">
        <f t="shared" si="3"/>
        <v>1.5</v>
      </c>
      <c r="K30" s="11">
        <f t="shared" si="4"/>
        <v>4</v>
      </c>
    </row>
    <row r="31" ht="14.25" customHeight="1">
      <c r="A31" s="21" t="s">
        <v>59</v>
      </c>
      <c r="B31" s="21">
        <v>2.0</v>
      </c>
      <c r="D31" s="21">
        <v>1.0</v>
      </c>
      <c r="E31" s="21">
        <v>1.0</v>
      </c>
      <c r="F31" s="21">
        <v>0.0</v>
      </c>
      <c r="G31" s="11">
        <f t="shared" si="1"/>
        <v>2</v>
      </c>
      <c r="H31" s="85">
        <f t="shared" si="2"/>
        <v>0.6666666667</v>
      </c>
      <c r="I31" s="86">
        <f t="shared" si="3"/>
        <v>1</v>
      </c>
      <c r="K31" s="11">
        <f t="shared" si="4"/>
        <v>4</v>
      </c>
    </row>
    <row r="32" ht="14.25" customHeight="1">
      <c r="A32" s="21" t="s">
        <v>131</v>
      </c>
      <c r="B32" s="21">
        <v>2.0</v>
      </c>
      <c r="D32" s="21">
        <v>1.0</v>
      </c>
      <c r="E32" s="21">
        <v>1.0</v>
      </c>
      <c r="F32" s="21">
        <v>3.0</v>
      </c>
      <c r="G32" s="11">
        <f t="shared" si="1"/>
        <v>5</v>
      </c>
      <c r="H32" s="85">
        <f t="shared" si="2"/>
        <v>0.2666666667</v>
      </c>
      <c r="I32" s="92">
        <f t="shared" si="3"/>
        <v>0.4</v>
      </c>
      <c r="K32" s="11">
        <f t="shared" si="4"/>
        <v>4</v>
      </c>
    </row>
    <row r="33" ht="14.25" customHeight="1">
      <c r="A33" s="21" t="s">
        <v>173</v>
      </c>
      <c r="B33" s="21">
        <v>4.0</v>
      </c>
      <c r="D33" s="21">
        <v>1.0</v>
      </c>
      <c r="E33" s="21">
        <v>0.0</v>
      </c>
      <c r="F33" s="21">
        <v>0.0</v>
      </c>
      <c r="G33" s="11">
        <f t="shared" si="1"/>
        <v>1</v>
      </c>
      <c r="H33" s="85">
        <f t="shared" si="2"/>
        <v>1</v>
      </c>
      <c r="I33" s="86">
        <f t="shared" si="3"/>
        <v>4</v>
      </c>
      <c r="K33" s="11">
        <f t="shared" si="4"/>
        <v>3</v>
      </c>
    </row>
    <row r="34" ht="14.25" customHeight="1">
      <c r="A34" s="21" t="s">
        <v>387</v>
      </c>
      <c r="B34" s="21">
        <v>3.0</v>
      </c>
      <c r="D34" s="21">
        <v>1.0</v>
      </c>
      <c r="E34" s="21">
        <v>0.0</v>
      </c>
      <c r="F34" s="21">
        <v>0.0</v>
      </c>
      <c r="G34" s="11">
        <f t="shared" si="1"/>
        <v>1</v>
      </c>
      <c r="H34" s="85">
        <f t="shared" si="2"/>
        <v>1</v>
      </c>
      <c r="I34" s="86">
        <f t="shared" si="3"/>
        <v>3</v>
      </c>
      <c r="K34" s="11">
        <f t="shared" si="4"/>
        <v>3</v>
      </c>
    </row>
    <row r="35" ht="14.25" customHeight="1">
      <c r="A35" s="11" t="s">
        <v>35</v>
      </c>
      <c r="B35" s="16">
        <v>1.0</v>
      </c>
      <c r="D35" s="16">
        <v>1.0</v>
      </c>
      <c r="E35" s="11">
        <v>0.0</v>
      </c>
      <c r="F35" s="16">
        <v>1.0</v>
      </c>
      <c r="G35" s="11">
        <f t="shared" si="1"/>
        <v>2</v>
      </c>
      <c r="H35" s="85">
        <f t="shared" si="2"/>
        <v>0.5</v>
      </c>
      <c r="I35" s="93">
        <v>0.0</v>
      </c>
      <c r="J35" s="94"/>
      <c r="K35" s="11">
        <f t="shared" si="4"/>
        <v>3</v>
      </c>
    </row>
    <row r="36" ht="14.25" customHeight="1">
      <c r="A36" s="21" t="s">
        <v>388</v>
      </c>
      <c r="B36" s="21">
        <v>3.0</v>
      </c>
      <c r="D36" s="21">
        <v>0.0</v>
      </c>
      <c r="E36" s="21">
        <v>2.0</v>
      </c>
      <c r="F36" s="21">
        <v>2.0</v>
      </c>
      <c r="G36" s="11">
        <f t="shared" si="1"/>
        <v>4</v>
      </c>
      <c r="H36" s="85">
        <f t="shared" si="2"/>
        <v>0.1666666667</v>
      </c>
      <c r="I36" s="86">
        <f t="shared" ref="I36:I45" si="5">B36/G36</f>
        <v>0.75</v>
      </c>
      <c r="K36" s="11">
        <f t="shared" si="4"/>
        <v>2</v>
      </c>
    </row>
    <row r="37" ht="14.25" customHeight="1">
      <c r="A37" s="21" t="s">
        <v>304</v>
      </c>
      <c r="B37" s="21">
        <v>8.0</v>
      </c>
      <c r="D37" s="21">
        <v>0.0</v>
      </c>
      <c r="E37" s="21">
        <v>1.0</v>
      </c>
      <c r="F37" s="21">
        <v>2.0</v>
      </c>
      <c r="G37" s="11">
        <f t="shared" si="1"/>
        <v>3</v>
      </c>
      <c r="H37" s="85">
        <f t="shared" si="2"/>
        <v>0.1111111111</v>
      </c>
      <c r="I37" s="91">
        <f t="shared" si="5"/>
        <v>2.666666667</v>
      </c>
      <c r="K37" s="11">
        <f t="shared" si="4"/>
        <v>1</v>
      </c>
    </row>
    <row r="38" ht="14.25" customHeight="1">
      <c r="A38" s="21" t="s">
        <v>221</v>
      </c>
      <c r="B38" s="21">
        <v>2.0</v>
      </c>
      <c r="D38" s="21">
        <v>0.0</v>
      </c>
      <c r="E38" s="21">
        <v>1.0</v>
      </c>
      <c r="F38" s="21">
        <v>0.0</v>
      </c>
      <c r="G38" s="11">
        <f t="shared" si="1"/>
        <v>1</v>
      </c>
      <c r="H38" s="85">
        <f t="shared" si="2"/>
        <v>0.3333333333</v>
      </c>
      <c r="I38" s="91">
        <f t="shared" si="5"/>
        <v>2</v>
      </c>
      <c r="K38" s="11">
        <f t="shared" si="4"/>
        <v>1</v>
      </c>
    </row>
    <row r="39" ht="14.25" customHeight="1">
      <c r="A39" s="11" t="s">
        <v>389</v>
      </c>
      <c r="B39" s="16">
        <v>2.0</v>
      </c>
      <c r="D39" s="11">
        <v>0.0</v>
      </c>
      <c r="E39" s="11">
        <v>1.0</v>
      </c>
      <c r="F39" s="16">
        <v>2.0</v>
      </c>
      <c r="G39" s="11">
        <f t="shared" si="1"/>
        <v>3</v>
      </c>
      <c r="H39" s="85">
        <f t="shared" si="2"/>
        <v>0.1111111111</v>
      </c>
      <c r="I39" s="91">
        <f t="shared" si="5"/>
        <v>0.6666666667</v>
      </c>
      <c r="J39" s="94"/>
      <c r="K39" s="11">
        <f t="shared" si="4"/>
        <v>1</v>
      </c>
    </row>
    <row r="40" ht="14.25" customHeight="1">
      <c r="A40" s="21" t="s">
        <v>218</v>
      </c>
      <c r="B40" s="21">
        <v>1.0</v>
      </c>
      <c r="D40" s="21">
        <v>0.0</v>
      </c>
      <c r="E40" s="21">
        <v>1.0</v>
      </c>
      <c r="F40" s="21">
        <v>0.0</v>
      </c>
      <c r="G40" s="11">
        <f t="shared" si="1"/>
        <v>1</v>
      </c>
      <c r="H40" s="85">
        <f t="shared" si="2"/>
        <v>0.3333333333</v>
      </c>
      <c r="I40" s="91">
        <f t="shared" si="5"/>
        <v>1</v>
      </c>
      <c r="K40" s="11">
        <f t="shared" si="4"/>
        <v>1</v>
      </c>
    </row>
    <row r="41" ht="14.25" customHeight="1">
      <c r="A41" s="21" t="s">
        <v>243</v>
      </c>
      <c r="B41" s="21">
        <v>3.0</v>
      </c>
      <c r="D41" s="21">
        <v>0.0</v>
      </c>
      <c r="E41" s="21">
        <v>0.0</v>
      </c>
      <c r="F41" s="21">
        <v>1.0</v>
      </c>
      <c r="G41" s="11">
        <f t="shared" si="1"/>
        <v>1</v>
      </c>
      <c r="H41" s="85">
        <f t="shared" si="2"/>
        <v>0</v>
      </c>
      <c r="I41" s="86">
        <f t="shared" si="5"/>
        <v>3</v>
      </c>
      <c r="K41" s="11">
        <f t="shared" si="4"/>
        <v>0</v>
      </c>
    </row>
    <row r="42" ht="14.25" customHeight="1">
      <c r="A42" s="21" t="s">
        <v>391</v>
      </c>
      <c r="B42" s="21">
        <v>2.0</v>
      </c>
      <c r="D42" s="21">
        <v>0.0</v>
      </c>
      <c r="E42" s="21">
        <v>0.0</v>
      </c>
      <c r="F42" s="21">
        <v>2.0</v>
      </c>
      <c r="G42" s="11">
        <f t="shared" si="1"/>
        <v>2</v>
      </c>
      <c r="H42" s="85">
        <f t="shared" si="2"/>
        <v>0</v>
      </c>
      <c r="I42" s="91">
        <f t="shared" si="5"/>
        <v>1</v>
      </c>
      <c r="K42" s="11">
        <f t="shared" si="4"/>
        <v>0</v>
      </c>
    </row>
    <row r="43" ht="14.25" customHeight="1">
      <c r="A43" s="21" t="s">
        <v>100</v>
      </c>
      <c r="B43" s="21">
        <v>1.0</v>
      </c>
      <c r="D43" s="21">
        <v>0.0</v>
      </c>
      <c r="E43" s="21">
        <v>0.0</v>
      </c>
      <c r="F43" s="21">
        <v>1.0</v>
      </c>
      <c r="G43" s="11">
        <f t="shared" si="1"/>
        <v>1</v>
      </c>
      <c r="H43" s="85">
        <f t="shared" si="2"/>
        <v>0</v>
      </c>
      <c r="I43" s="91">
        <f t="shared" si="5"/>
        <v>1</v>
      </c>
      <c r="K43" s="11">
        <f t="shared" si="4"/>
        <v>0</v>
      </c>
    </row>
    <row r="44" ht="14.25" customHeight="1">
      <c r="A44" s="21" t="s">
        <v>121</v>
      </c>
      <c r="B44" s="21">
        <v>1.0</v>
      </c>
      <c r="D44" s="21">
        <v>0.0</v>
      </c>
      <c r="E44" s="21">
        <v>0.0</v>
      </c>
      <c r="F44" s="21">
        <v>1.0</v>
      </c>
      <c r="G44" s="11">
        <f t="shared" si="1"/>
        <v>1</v>
      </c>
      <c r="H44" s="85">
        <f t="shared" si="2"/>
        <v>0</v>
      </c>
      <c r="I44" s="91">
        <f t="shared" si="5"/>
        <v>1</v>
      </c>
      <c r="K44" s="11">
        <f t="shared" si="4"/>
        <v>0</v>
      </c>
    </row>
    <row r="45" ht="14.25" customHeight="1">
      <c r="A45" s="21" t="s">
        <v>343</v>
      </c>
      <c r="B45" s="21">
        <v>1.0</v>
      </c>
      <c r="D45" s="21">
        <v>0.0</v>
      </c>
      <c r="E45" s="21">
        <v>0.0</v>
      </c>
      <c r="F45" s="21">
        <v>1.0</v>
      </c>
      <c r="G45" s="11">
        <f t="shared" si="1"/>
        <v>1</v>
      </c>
      <c r="H45" s="85">
        <f t="shared" si="2"/>
        <v>0</v>
      </c>
      <c r="I45" s="91">
        <f t="shared" si="5"/>
        <v>1</v>
      </c>
      <c r="K45" s="11">
        <f t="shared" si="4"/>
        <v>0</v>
      </c>
    </row>
    <row r="46" ht="14.25" customHeight="1">
      <c r="H46" s="78"/>
    </row>
    <row r="47" ht="14.25" customHeight="1">
      <c r="H47" s="78"/>
    </row>
    <row r="48" ht="14.25" customHeight="1">
      <c r="H48" s="78"/>
    </row>
    <row r="49" ht="14.25" customHeight="1">
      <c r="H49" s="78"/>
    </row>
    <row r="50" ht="14.25" customHeight="1">
      <c r="H50" s="78"/>
    </row>
    <row r="51" ht="14.25" customHeight="1">
      <c r="H51" s="78"/>
    </row>
    <row r="52" ht="14.25" customHeight="1">
      <c r="H52" s="78"/>
    </row>
    <row r="53" ht="14.25" customHeight="1">
      <c r="H53" s="78"/>
    </row>
    <row r="54" ht="14.25" customHeight="1">
      <c r="H54" s="78"/>
    </row>
    <row r="55" ht="14.25" customHeight="1">
      <c r="H55" s="78"/>
    </row>
    <row r="56" ht="14.25" customHeight="1">
      <c r="H56" s="78"/>
    </row>
    <row r="57" ht="14.25" customHeight="1">
      <c r="H57" s="78"/>
    </row>
    <row r="58" ht="14.25" customHeight="1">
      <c r="H58" s="78"/>
    </row>
    <row r="59" ht="14.25" customHeight="1">
      <c r="H59" s="78"/>
    </row>
    <row r="60" ht="14.25" customHeight="1">
      <c r="H60" s="78"/>
    </row>
    <row r="61" ht="14.25" customHeight="1">
      <c r="H61" s="78"/>
    </row>
    <row r="62" ht="14.25" customHeight="1">
      <c r="H62" s="78"/>
    </row>
    <row r="63" ht="14.25" customHeight="1">
      <c r="H63" s="78"/>
    </row>
    <row r="64" ht="14.25" customHeight="1">
      <c r="H64" s="78"/>
    </row>
    <row r="65" ht="14.25" customHeight="1">
      <c r="H65" s="78"/>
    </row>
    <row r="66" ht="14.25" customHeight="1">
      <c r="H66" s="78"/>
    </row>
    <row r="67" ht="14.25" customHeight="1">
      <c r="H67" s="78"/>
    </row>
    <row r="68" ht="14.25" customHeight="1">
      <c r="H68" s="78"/>
    </row>
    <row r="69" ht="14.25" customHeight="1">
      <c r="H69" s="78"/>
    </row>
    <row r="70" ht="14.25" customHeight="1">
      <c r="H70" s="78"/>
    </row>
    <row r="71" ht="14.25" customHeight="1">
      <c r="H71" s="78"/>
    </row>
    <row r="72" ht="14.25" customHeight="1">
      <c r="H72" s="78"/>
    </row>
    <row r="73" ht="14.25" customHeight="1">
      <c r="H73" s="78"/>
    </row>
    <row r="74" ht="14.25" customHeight="1">
      <c r="H74" s="78"/>
    </row>
    <row r="75" ht="14.25" customHeight="1">
      <c r="H75" s="78"/>
    </row>
    <row r="76" ht="14.25" customHeight="1">
      <c r="H76" s="78"/>
    </row>
    <row r="77" ht="14.25" customHeight="1">
      <c r="H77" s="78"/>
    </row>
    <row r="78" ht="14.25" customHeight="1">
      <c r="H78" s="78"/>
    </row>
    <row r="79" ht="14.25" customHeight="1">
      <c r="H79" s="78"/>
    </row>
    <row r="80" ht="14.25" customHeight="1">
      <c r="H80" s="78"/>
    </row>
    <row r="81" ht="14.25" customHeight="1">
      <c r="H81" s="78"/>
    </row>
    <row r="82" ht="14.25" customHeight="1">
      <c r="H82" s="78"/>
    </row>
    <row r="83" ht="14.25" customHeight="1">
      <c r="H83" s="78"/>
    </row>
    <row r="84" ht="14.25" customHeight="1">
      <c r="H84" s="78"/>
    </row>
    <row r="85" ht="14.25" customHeight="1">
      <c r="H85" s="78"/>
    </row>
    <row r="86" ht="14.25" customHeight="1">
      <c r="H86" s="78"/>
    </row>
    <row r="87" ht="14.25" customHeight="1">
      <c r="H87" s="78"/>
    </row>
    <row r="88" ht="14.25" customHeight="1">
      <c r="H88" s="78"/>
    </row>
    <row r="89" ht="14.25" customHeight="1">
      <c r="H89" s="78"/>
    </row>
    <row r="90" ht="14.25" customHeight="1">
      <c r="H90" s="78"/>
    </row>
    <row r="91" ht="14.25" customHeight="1">
      <c r="H91" s="78"/>
    </row>
    <row r="92" ht="14.25" customHeight="1">
      <c r="H92" s="78"/>
    </row>
    <row r="93" ht="14.25" customHeight="1">
      <c r="H93" s="78"/>
    </row>
    <row r="94" ht="14.25" customHeight="1">
      <c r="H94" s="78"/>
    </row>
    <row r="95" ht="14.25" customHeight="1">
      <c r="H95" s="78"/>
    </row>
    <row r="96" ht="14.25" customHeight="1">
      <c r="H96" s="78"/>
    </row>
    <row r="97" ht="14.25" customHeight="1">
      <c r="H97" s="78"/>
    </row>
    <row r="98" ht="14.25" customHeight="1">
      <c r="H98" s="78"/>
    </row>
    <row r="99" ht="14.25" customHeight="1">
      <c r="H99" s="78"/>
    </row>
    <row r="100" ht="14.25" customHeight="1">
      <c r="H100" s="78"/>
    </row>
    <row r="101" ht="14.25" customHeight="1">
      <c r="H101" s="78"/>
    </row>
    <row r="102" ht="14.25" customHeight="1">
      <c r="H102" s="78"/>
    </row>
    <row r="103" ht="14.25" customHeight="1">
      <c r="H103" s="78"/>
    </row>
    <row r="104" ht="14.25" customHeight="1">
      <c r="H104" s="78"/>
    </row>
    <row r="105" ht="14.25" customHeight="1">
      <c r="H105" s="78"/>
    </row>
    <row r="106" ht="14.25" customHeight="1">
      <c r="H106" s="78"/>
    </row>
    <row r="107" ht="14.25" customHeight="1">
      <c r="H107" s="78"/>
    </row>
    <row r="108" ht="14.25" customHeight="1">
      <c r="H108" s="78"/>
    </row>
    <row r="109" ht="14.25" customHeight="1">
      <c r="H109" s="78"/>
    </row>
    <row r="110" ht="14.25" customHeight="1">
      <c r="H110" s="78"/>
    </row>
    <row r="111" ht="14.25" customHeight="1">
      <c r="H111" s="78"/>
    </row>
    <row r="112" ht="14.25" customHeight="1">
      <c r="H112" s="78"/>
    </row>
    <row r="113" ht="14.25" customHeight="1">
      <c r="H113" s="78"/>
    </row>
    <row r="114" ht="14.25" customHeight="1">
      <c r="H114" s="78"/>
    </row>
    <row r="115" ht="14.25" customHeight="1">
      <c r="H115" s="78"/>
    </row>
    <row r="116" ht="14.25" customHeight="1">
      <c r="C116" s="67"/>
      <c r="H116" s="78"/>
      <c r="J116" s="67"/>
    </row>
    <row r="117" ht="14.25" customHeight="1">
      <c r="C117" s="67"/>
      <c r="H117" s="78"/>
      <c r="J117" s="67"/>
    </row>
    <row r="118" ht="14.25" customHeight="1">
      <c r="C118" s="67"/>
      <c r="H118" s="78"/>
      <c r="J118" s="67"/>
    </row>
    <row r="119" ht="14.25" customHeight="1">
      <c r="C119" s="67"/>
      <c r="H119" s="78"/>
      <c r="J119" s="67"/>
    </row>
    <row r="120" ht="14.25" customHeight="1">
      <c r="C120" s="67"/>
      <c r="H120" s="78"/>
      <c r="J120" s="67"/>
    </row>
    <row r="121" ht="14.25" customHeight="1">
      <c r="C121" s="67"/>
      <c r="H121" s="78"/>
      <c r="J121" s="67"/>
    </row>
    <row r="122" ht="14.25" customHeight="1">
      <c r="C122" s="67"/>
      <c r="H122" s="78"/>
      <c r="J122" s="67"/>
    </row>
    <row r="123" ht="14.25" customHeight="1">
      <c r="C123" s="67"/>
      <c r="H123" s="78"/>
      <c r="J123" s="67"/>
    </row>
    <row r="124" ht="14.25" customHeight="1">
      <c r="C124" s="67"/>
      <c r="H124" s="78"/>
      <c r="J124" s="67"/>
    </row>
    <row r="125" ht="14.25" customHeight="1">
      <c r="C125" s="67"/>
      <c r="H125" s="78"/>
      <c r="J125" s="67"/>
    </row>
    <row r="126" ht="14.25" customHeight="1">
      <c r="C126" s="67"/>
      <c r="H126" s="78"/>
      <c r="J126" s="67"/>
    </row>
    <row r="127" ht="14.25" customHeight="1">
      <c r="C127" s="67"/>
      <c r="H127" s="78"/>
      <c r="J127" s="67"/>
    </row>
    <row r="128" ht="14.25" customHeight="1">
      <c r="C128" s="67"/>
      <c r="H128" s="78"/>
      <c r="J128" s="67"/>
    </row>
    <row r="129" ht="14.25" customHeight="1">
      <c r="C129" s="67"/>
      <c r="H129" s="78"/>
      <c r="J129" s="67"/>
    </row>
    <row r="130" ht="14.25" customHeight="1">
      <c r="C130" s="67"/>
      <c r="H130" s="78"/>
      <c r="J130" s="67"/>
    </row>
    <row r="131" ht="14.25" customHeight="1">
      <c r="C131" s="67"/>
      <c r="H131" s="78"/>
      <c r="J131" s="67"/>
    </row>
    <row r="132" ht="14.25" customHeight="1">
      <c r="C132" s="67"/>
      <c r="H132" s="78"/>
      <c r="J132" s="67"/>
    </row>
    <row r="133" ht="14.25" customHeight="1">
      <c r="C133" s="67"/>
      <c r="H133" s="78"/>
      <c r="J133" s="67"/>
    </row>
    <row r="134" ht="14.25" customHeight="1">
      <c r="C134" s="67"/>
      <c r="H134" s="78"/>
      <c r="J134" s="67"/>
    </row>
    <row r="135" ht="14.25" customHeight="1">
      <c r="C135" s="67"/>
      <c r="H135" s="78"/>
      <c r="J135" s="67"/>
    </row>
    <row r="136" ht="14.25" customHeight="1">
      <c r="C136" s="67"/>
      <c r="H136" s="78"/>
      <c r="J136" s="67"/>
    </row>
    <row r="137" ht="14.25" customHeight="1">
      <c r="C137" s="67"/>
      <c r="H137" s="78"/>
      <c r="J137" s="67"/>
    </row>
    <row r="138" ht="14.25" customHeight="1">
      <c r="C138" s="67"/>
      <c r="H138" s="78"/>
      <c r="J138" s="67"/>
    </row>
    <row r="139" ht="14.25" customHeight="1">
      <c r="C139" s="67"/>
      <c r="H139" s="78"/>
      <c r="J139" s="67"/>
    </row>
    <row r="140" ht="14.25" customHeight="1">
      <c r="C140" s="67"/>
      <c r="H140" s="78"/>
      <c r="J140" s="67"/>
    </row>
    <row r="141" ht="14.25" customHeight="1">
      <c r="C141" s="67"/>
      <c r="H141" s="78"/>
      <c r="J141" s="67"/>
    </row>
    <row r="142" ht="14.25" customHeight="1">
      <c r="C142" s="67"/>
      <c r="H142" s="78"/>
      <c r="J142" s="67"/>
    </row>
    <row r="143" ht="14.25" customHeight="1">
      <c r="C143" s="67"/>
      <c r="H143" s="78"/>
      <c r="J143" s="67"/>
    </row>
    <row r="144" ht="14.25" customHeight="1">
      <c r="C144" s="67"/>
      <c r="H144" s="78"/>
      <c r="J144" s="67"/>
    </row>
    <row r="145" ht="14.25" customHeight="1">
      <c r="C145" s="67"/>
      <c r="H145" s="78"/>
      <c r="J145" s="67"/>
    </row>
    <row r="146" ht="14.25" customHeight="1">
      <c r="C146" s="67"/>
      <c r="H146" s="78"/>
      <c r="J146" s="67"/>
    </row>
    <row r="147" ht="14.25" customHeight="1">
      <c r="C147" s="67"/>
      <c r="H147" s="78"/>
      <c r="J147" s="67"/>
    </row>
    <row r="148" ht="14.25" customHeight="1">
      <c r="C148" s="67"/>
      <c r="H148" s="78"/>
      <c r="J148" s="67"/>
    </row>
    <row r="149" ht="14.25" customHeight="1">
      <c r="C149" s="67"/>
      <c r="H149" s="78"/>
      <c r="J149" s="67"/>
    </row>
    <row r="150" ht="14.25" customHeight="1">
      <c r="C150" s="67"/>
      <c r="H150" s="78"/>
      <c r="J150" s="67"/>
    </row>
    <row r="151" ht="14.25" customHeight="1">
      <c r="C151" s="67"/>
      <c r="H151" s="78"/>
      <c r="J151" s="67"/>
    </row>
    <row r="152" ht="14.25" customHeight="1">
      <c r="C152" s="67"/>
      <c r="H152" s="78"/>
      <c r="J152" s="67"/>
    </row>
    <row r="153" ht="14.25" customHeight="1">
      <c r="C153" s="67"/>
      <c r="H153" s="78"/>
      <c r="J153" s="67"/>
    </row>
    <row r="154" ht="14.25" customHeight="1">
      <c r="C154" s="67"/>
      <c r="H154" s="78"/>
      <c r="J154" s="67"/>
    </row>
    <row r="155" ht="14.25" customHeight="1">
      <c r="C155" s="67"/>
      <c r="H155" s="78"/>
      <c r="J155" s="67"/>
    </row>
    <row r="156" ht="14.25" customHeight="1">
      <c r="C156" s="67"/>
      <c r="H156" s="78"/>
      <c r="J156" s="67"/>
    </row>
    <row r="157" ht="14.25" customHeight="1">
      <c r="C157" s="67"/>
      <c r="H157" s="78"/>
      <c r="J157" s="67"/>
    </row>
    <row r="158" ht="14.25" customHeight="1">
      <c r="C158" s="67"/>
      <c r="H158" s="78"/>
      <c r="J158" s="67"/>
    </row>
    <row r="159" ht="14.25" customHeight="1">
      <c r="C159" s="67"/>
      <c r="H159" s="78"/>
      <c r="J159" s="67"/>
    </row>
    <row r="160" ht="14.25" customHeight="1">
      <c r="C160" s="67"/>
      <c r="H160" s="78"/>
      <c r="J160" s="67"/>
    </row>
    <row r="161" ht="14.25" customHeight="1">
      <c r="C161" s="67"/>
      <c r="H161" s="78"/>
      <c r="J161" s="67"/>
    </row>
    <row r="162" ht="14.25" customHeight="1">
      <c r="C162" s="67"/>
      <c r="H162" s="78"/>
      <c r="J162" s="67"/>
    </row>
    <row r="163" ht="14.25" customHeight="1">
      <c r="C163" s="67"/>
      <c r="H163" s="78"/>
      <c r="J163" s="67"/>
    </row>
    <row r="164" ht="14.25" customHeight="1">
      <c r="C164" s="67"/>
      <c r="H164" s="78"/>
      <c r="J164" s="67"/>
    </row>
    <row r="165" ht="14.25" customHeight="1">
      <c r="C165" s="67"/>
      <c r="H165" s="78"/>
      <c r="J165" s="67"/>
    </row>
    <row r="166" ht="14.25" customHeight="1">
      <c r="C166" s="67"/>
      <c r="H166" s="78"/>
      <c r="J166" s="67"/>
    </row>
    <row r="167" ht="14.25" customHeight="1">
      <c r="C167" s="67"/>
      <c r="H167" s="78"/>
      <c r="J167" s="67"/>
    </row>
    <row r="168" ht="14.25" customHeight="1">
      <c r="C168" s="67"/>
      <c r="H168" s="78"/>
      <c r="J168" s="67"/>
    </row>
    <row r="169" ht="14.25" customHeight="1">
      <c r="C169" s="67"/>
      <c r="H169" s="78"/>
      <c r="J169" s="67"/>
    </row>
    <row r="170" ht="14.25" customHeight="1">
      <c r="C170" s="67"/>
      <c r="H170" s="78"/>
      <c r="J170" s="67"/>
    </row>
    <row r="171" ht="14.25" customHeight="1">
      <c r="C171" s="67"/>
      <c r="H171" s="78"/>
      <c r="J171" s="67"/>
    </row>
    <row r="172" ht="14.25" customHeight="1">
      <c r="C172" s="67"/>
      <c r="H172" s="78"/>
      <c r="J172" s="67"/>
    </row>
    <row r="173" ht="14.25" customHeight="1">
      <c r="C173" s="67"/>
      <c r="H173" s="78"/>
      <c r="J173" s="67"/>
    </row>
    <row r="174" ht="14.25" customHeight="1">
      <c r="C174" s="67"/>
      <c r="H174" s="78"/>
      <c r="J174" s="67"/>
    </row>
    <row r="175" ht="14.25" customHeight="1">
      <c r="C175" s="67"/>
      <c r="H175" s="78"/>
      <c r="J175" s="67"/>
    </row>
    <row r="176" ht="14.25" customHeight="1">
      <c r="C176" s="67"/>
      <c r="H176" s="78"/>
      <c r="J176" s="67"/>
    </row>
    <row r="177" ht="14.25" customHeight="1">
      <c r="C177" s="67"/>
      <c r="H177" s="78"/>
      <c r="J177" s="67"/>
    </row>
    <row r="178" ht="14.25" customHeight="1">
      <c r="C178" s="67"/>
      <c r="H178" s="78"/>
      <c r="J178" s="67"/>
    </row>
    <row r="179" ht="14.25" customHeight="1">
      <c r="C179" s="67"/>
      <c r="H179" s="78"/>
      <c r="J179" s="67"/>
    </row>
    <row r="180" ht="14.25" customHeight="1">
      <c r="C180" s="67"/>
      <c r="H180" s="78"/>
      <c r="J180" s="67"/>
    </row>
    <row r="181" ht="14.25" customHeight="1">
      <c r="C181" s="67"/>
      <c r="H181" s="78"/>
      <c r="J181" s="67"/>
    </row>
    <row r="182" ht="14.25" customHeight="1">
      <c r="C182" s="67"/>
      <c r="H182" s="78"/>
      <c r="J182" s="67"/>
    </row>
    <row r="183" ht="14.25" customHeight="1">
      <c r="C183" s="67"/>
      <c r="H183" s="78"/>
      <c r="J183" s="67"/>
    </row>
    <row r="184" ht="14.25" customHeight="1">
      <c r="C184" s="67"/>
      <c r="H184" s="78"/>
      <c r="J184" s="67"/>
    </row>
    <row r="185" ht="14.25" customHeight="1">
      <c r="C185" s="67"/>
      <c r="H185" s="78"/>
      <c r="J185" s="67"/>
    </row>
    <row r="186" ht="14.25" customHeight="1">
      <c r="C186" s="67"/>
      <c r="H186" s="78"/>
      <c r="J186" s="67"/>
    </row>
    <row r="187" ht="14.25" customHeight="1">
      <c r="C187" s="67"/>
      <c r="H187" s="78"/>
      <c r="J187" s="67"/>
    </row>
    <row r="188" ht="14.25" customHeight="1">
      <c r="C188" s="67"/>
      <c r="H188" s="78"/>
      <c r="J188" s="67"/>
    </row>
    <row r="189" ht="14.25" customHeight="1">
      <c r="C189" s="67"/>
      <c r="H189" s="78"/>
      <c r="J189" s="67"/>
    </row>
    <row r="190" ht="14.25" customHeight="1">
      <c r="C190" s="67"/>
      <c r="H190" s="78"/>
      <c r="J190" s="67"/>
    </row>
    <row r="191" ht="14.25" customHeight="1">
      <c r="C191" s="67"/>
      <c r="H191" s="78"/>
      <c r="J191" s="67"/>
    </row>
    <row r="192" ht="14.25" customHeight="1">
      <c r="C192" s="67"/>
      <c r="H192" s="78"/>
      <c r="J192" s="67"/>
    </row>
    <row r="193" ht="14.25" customHeight="1">
      <c r="C193" s="67"/>
      <c r="H193" s="78"/>
      <c r="J193" s="67"/>
    </row>
    <row r="194" ht="14.25" customHeight="1">
      <c r="C194" s="67"/>
      <c r="H194" s="78"/>
      <c r="J194" s="67"/>
    </row>
    <row r="195" ht="14.25" customHeight="1">
      <c r="C195" s="67"/>
      <c r="H195" s="78"/>
      <c r="J195" s="67"/>
    </row>
    <row r="196" ht="14.25" customHeight="1">
      <c r="C196" s="67"/>
      <c r="H196" s="78"/>
      <c r="J196" s="67"/>
    </row>
    <row r="197" ht="14.25" customHeight="1">
      <c r="C197" s="67"/>
      <c r="H197" s="78"/>
      <c r="J197" s="67"/>
    </row>
    <row r="198" ht="14.25" customHeight="1">
      <c r="C198" s="67"/>
      <c r="H198" s="78"/>
      <c r="J198" s="67"/>
    </row>
    <row r="199" ht="14.25" customHeight="1">
      <c r="C199" s="67"/>
      <c r="H199" s="78"/>
      <c r="J199" s="67"/>
    </row>
    <row r="200" ht="14.25" customHeight="1">
      <c r="C200" s="67"/>
      <c r="H200" s="78"/>
      <c r="J200" s="67"/>
    </row>
    <row r="201" ht="14.25" customHeight="1">
      <c r="C201" s="67"/>
      <c r="H201" s="78"/>
      <c r="J201" s="67"/>
    </row>
    <row r="202" ht="14.25" customHeight="1">
      <c r="C202" s="67"/>
      <c r="H202" s="78"/>
      <c r="J202" s="67"/>
    </row>
    <row r="203" ht="14.25" customHeight="1">
      <c r="C203" s="67"/>
      <c r="H203" s="78"/>
      <c r="J203" s="67"/>
    </row>
    <row r="204" ht="14.25" customHeight="1">
      <c r="C204" s="67"/>
      <c r="H204" s="78"/>
      <c r="J204" s="67"/>
    </row>
    <row r="205" ht="14.25" customHeight="1">
      <c r="C205" s="67"/>
      <c r="H205" s="78"/>
      <c r="J205" s="67"/>
    </row>
    <row r="206" ht="14.25" customHeight="1">
      <c r="C206" s="67"/>
      <c r="H206" s="78"/>
      <c r="J206" s="67"/>
    </row>
    <row r="207" ht="14.25" customHeight="1">
      <c r="C207" s="67"/>
      <c r="H207" s="78"/>
      <c r="J207" s="67"/>
    </row>
    <row r="208" ht="14.25" customHeight="1">
      <c r="C208" s="67"/>
      <c r="H208" s="78"/>
      <c r="J208" s="67"/>
    </row>
    <row r="209" ht="14.25" customHeight="1">
      <c r="C209" s="67"/>
      <c r="H209" s="78"/>
      <c r="J209" s="67"/>
    </row>
    <row r="210" ht="14.25" customHeight="1">
      <c r="C210" s="67"/>
      <c r="H210" s="78"/>
      <c r="J210" s="67"/>
    </row>
    <row r="211" ht="14.25" customHeight="1">
      <c r="C211" s="67"/>
      <c r="H211" s="78"/>
      <c r="J211" s="67"/>
    </row>
    <row r="212" ht="14.25" customHeight="1">
      <c r="C212" s="67"/>
      <c r="H212" s="78"/>
      <c r="J212" s="67"/>
    </row>
    <row r="213" ht="14.25" customHeight="1">
      <c r="C213" s="67"/>
      <c r="H213" s="78"/>
      <c r="J213" s="67"/>
    </row>
    <row r="214" ht="14.25" customHeight="1">
      <c r="C214" s="67"/>
      <c r="H214" s="78"/>
      <c r="J214" s="67"/>
    </row>
    <row r="215" ht="14.25" customHeight="1">
      <c r="C215" s="67"/>
      <c r="H215" s="78"/>
      <c r="J215" s="67"/>
    </row>
    <row r="216" ht="14.25" customHeight="1">
      <c r="C216" s="67"/>
      <c r="H216" s="78"/>
      <c r="J216" s="67"/>
    </row>
    <row r="217" ht="14.25" customHeight="1">
      <c r="C217" s="67"/>
      <c r="H217" s="78"/>
      <c r="J217" s="67"/>
    </row>
    <row r="218" ht="14.25" customHeight="1">
      <c r="C218" s="67"/>
      <c r="H218" s="78"/>
      <c r="J218" s="67"/>
    </row>
    <row r="219" ht="14.25" customHeight="1">
      <c r="C219" s="67"/>
      <c r="H219" s="78"/>
      <c r="J219" s="67"/>
    </row>
    <row r="220" ht="14.25" customHeight="1">
      <c r="C220" s="67"/>
      <c r="H220" s="78"/>
      <c r="J220" s="67"/>
    </row>
    <row r="221" ht="14.25" customHeight="1">
      <c r="C221" s="67"/>
      <c r="H221" s="78"/>
      <c r="J221" s="67"/>
    </row>
    <row r="222" ht="14.25" customHeight="1">
      <c r="C222" s="67"/>
      <c r="H222" s="78"/>
      <c r="J222" s="67"/>
    </row>
    <row r="223" ht="14.25" customHeight="1">
      <c r="C223" s="67"/>
      <c r="H223" s="78"/>
      <c r="J223" s="67"/>
    </row>
    <row r="224" ht="14.25" customHeight="1">
      <c r="C224" s="67"/>
      <c r="H224" s="78"/>
      <c r="J224" s="67"/>
    </row>
    <row r="225" ht="14.25" customHeight="1">
      <c r="C225" s="67"/>
      <c r="H225" s="78"/>
      <c r="J225" s="67"/>
    </row>
    <row r="226" ht="14.25" customHeight="1">
      <c r="C226" s="67"/>
      <c r="H226" s="78"/>
      <c r="J226" s="67"/>
    </row>
    <row r="227" ht="14.25" customHeight="1">
      <c r="C227" s="67"/>
      <c r="H227" s="78"/>
      <c r="J227" s="67"/>
    </row>
    <row r="228" ht="14.25" customHeight="1">
      <c r="C228" s="67"/>
      <c r="H228" s="78"/>
      <c r="J228" s="67"/>
    </row>
    <row r="229" ht="14.25" customHeight="1">
      <c r="C229" s="67"/>
      <c r="H229" s="78"/>
      <c r="J229" s="67"/>
    </row>
    <row r="230" ht="14.25" customHeight="1">
      <c r="C230" s="67"/>
      <c r="H230" s="78"/>
      <c r="J230" s="67"/>
    </row>
    <row r="231" ht="14.25" customHeight="1">
      <c r="C231" s="67"/>
      <c r="H231" s="78"/>
      <c r="J231" s="67"/>
    </row>
    <row r="232" ht="14.25" customHeight="1">
      <c r="C232" s="67"/>
      <c r="H232" s="78"/>
      <c r="J232" s="67"/>
    </row>
    <row r="233" ht="14.25" customHeight="1">
      <c r="C233" s="67"/>
      <c r="H233" s="78"/>
      <c r="J233" s="67"/>
    </row>
    <row r="234" ht="14.25" customHeight="1">
      <c r="C234" s="67"/>
      <c r="H234" s="78"/>
      <c r="J234" s="67"/>
    </row>
    <row r="235" ht="14.25" customHeight="1">
      <c r="C235" s="67"/>
      <c r="H235" s="78"/>
      <c r="J235" s="67"/>
    </row>
    <row r="236" ht="14.25" customHeight="1">
      <c r="C236" s="67"/>
      <c r="H236" s="78"/>
      <c r="J236" s="67"/>
    </row>
    <row r="237" ht="14.25" customHeight="1">
      <c r="C237" s="67"/>
      <c r="H237" s="78"/>
      <c r="J237" s="67"/>
    </row>
    <row r="238" ht="14.25" customHeight="1">
      <c r="C238" s="67"/>
      <c r="H238" s="78"/>
      <c r="J238" s="67"/>
    </row>
    <row r="239" ht="14.25" customHeight="1">
      <c r="C239" s="67"/>
      <c r="H239" s="78"/>
      <c r="J239" s="67"/>
    </row>
    <row r="240" ht="14.25" customHeight="1">
      <c r="C240" s="67"/>
      <c r="H240" s="78"/>
      <c r="J240" s="67"/>
    </row>
    <row r="241" ht="14.25" customHeight="1">
      <c r="C241" s="67"/>
      <c r="H241" s="78"/>
      <c r="J241" s="67"/>
    </row>
    <row r="242" ht="14.25" customHeight="1">
      <c r="C242" s="67"/>
      <c r="H242" s="78"/>
      <c r="J242" s="67"/>
    </row>
    <row r="243" ht="14.25" customHeight="1">
      <c r="C243" s="67"/>
      <c r="H243" s="78"/>
      <c r="J243" s="67"/>
    </row>
    <row r="244" ht="14.25" customHeight="1">
      <c r="C244" s="67"/>
      <c r="H244" s="78"/>
      <c r="J244" s="67"/>
    </row>
    <row r="245" ht="14.25" customHeight="1">
      <c r="C245" s="67"/>
      <c r="H245" s="78"/>
      <c r="J245" s="67"/>
    </row>
    <row r="246" ht="14.25" customHeight="1">
      <c r="C246" s="67"/>
      <c r="H246" s="78"/>
      <c r="J246" s="67"/>
    </row>
    <row r="247" ht="14.25" customHeight="1">
      <c r="C247" s="67"/>
      <c r="H247" s="78"/>
      <c r="J247" s="67"/>
    </row>
    <row r="248" ht="14.25" customHeight="1">
      <c r="C248" s="67"/>
      <c r="H248" s="78"/>
      <c r="J248" s="67"/>
    </row>
    <row r="249" ht="14.25" customHeight="1">
      <c r="C249" s="67"/>
      <c r="H249" s="78"/>
      <c r="J249" s="67"/>
    </row>
    <row r="250" ht="14.25" customHeight="1">
      <c r="C250" s="67"/>
      <c r="H250" s="78"/>
      <c r="J250" s="67"/>
    </row>
    <row r="251" ht="14.25" customHeight="1">
      <c r="C251" s="67"/>
      <c r="H251" s="78"/>
      <c r="J251" s="67"/>
    </row>
    <row r="252" ht="14.25" customHeight="1">
      <c r="C252" s="67"/>
      <c r="H252" s="78"/>
      <c r="J252" s="67"/>
    </row>
    <row r="253" ht="14.25" customHeight="1">
      <c r="C253" s="67"/>
      <c r="H253" s="78"/>
      <c r="J253" s="67"/>
    </row>
    <row r="254" ht="14.25" customHeight="1">
      <c r="C254" s="67"/>
      <c r="H254" s="78"/>
      <c r="J254" s="67"/>
    </row>
    <row r="255" ht="14.25" customHeight="1">
      <c r="C255" s="67"/>
      <c r="H255" s="78"/>
      <c r="J255" s="67"/>
    </row>
    <row r="256" ht="14.25" customHeight="1">
      <c r="C256" s="67"/>
      <c r="H256" s="78"/>
      <c r="J256" s="67"/>
    </row>
    <row r="257" ht="14.25" customHeight="1">
      <c r="C257" s="67"/>
      <c r="H257" s="78"/>
      <c r="J257" s="67"/>
    </row>
    <row r="258" ht="14.25" customHeight="1">
      <c r="C258" s="67"/>
      <c r="H258" s="78"/>
      <c r="J258" s="67"/>
    </row>
    <row r="259" ht="14.25" customHeight="1">
      <c r="C259" s="67"/>
      <c r="H259" s="78"/>
      <c r="J259" s="67"/>
    </row>
    <row r="260" ht="14.25" customHeight="1">
      <c r="C260" s="67"/>
      <c r="H260" s="78"/>
      <c r="J260" s="67"/>
    </row>
    <row r="261" ht="14.25" customHeight="1">
      <c r="C261" s="67"/>
      <c r="H261" s="78"/>
      <c r="J261" s="67"/>
    </row>
    <row r="262" ht="14.25" customHeight="1">
      <c r="C262" s="67"/>
      <c r="H262" s="78"/>
      <c r="J262" s="67"/>
    </row>
    <row r="263" ht="14.25" customHeight="1">
      <c r="C263" s="67"/>
      <c r="H263" s="78"/>
      <c r="J263" s="67"/>
    </row>
    <row r="264" ht="14.25" customHeight="1">
      <c r="C264" s="67"/>
      <c r="H264" s="78"/>
      <c r="J264" s="67"/>
    </row>
    <row r="265" ht="14.25" customHeight="1">
      <c r="C265" s="67"/>
      <c r="H265" s="78"/>
      <c r="J265" s="67"/>
    </row>
    <row r="266" ht="14.25" customHeight="1">
      <c r="C266" s="67"/>
      <c r="H266" s="78"/>
      <c r="J266" s="67"/>
    </row>
    <row r="267" ht="14.25" customHeight="1">
      <c r="C267" s="67"/>
      <c r="H267" s="78"/>
      <c r="J267" s="67"/>
    </row>
    <row r="268" ht="14.25" customHeight="1">
      <c r="C268" s="67"/>
      <c r="H268" s="78"/>
      <c r="J268" s="67"/>
    </row>
    <row r="269" ht="14.25" customHeight="1">
      <c r="C269" s="67"/>
      <c r="H269" s="78"/>
      <c r="J269" s="67"/>
    </row>
    <row r="270" ht="14.25" customHeight="1">
      <c r="C270" s="67"/>
      <c r="H270" s="78"/>
      <c r="J270" s="67"/>
    </row>
    <row r="271" ht="14.25" customHeight="1">
      <c r="C271" s="67"/>
      <c r="H271" s="78"/>
      <c r="J271" s="67"/>
    </row>
    <row r="272" ht="14.25" customHeight="1">
      <c r="C272" s="67"/>
      <c r="H272" s="78"/>
      <c r="J272" s="67"/>
    </row>
    <row r="273" ht="14.25" customHeight="1">
      <c r="C273" s="67"/>
      <c r="H273" s="78"/>
      <c r="J273" s="67"/>
    </row>
    <row r="274" ht="14.25" customHeight="1">
      <c r="C274" s="67"/>
      <c r="H274" s="78"/>
      <c r="J274" s="67"/>
    </row>
    <row r="275" ht="14.25" customHeight="1">
      <c r="C275" s="67"/>
      <c r="H275" s="78"/>
      <c r="J275" s="67"/>
    </row>
    <row r="276" ht="14.25" customHeight="1">
      <c r="C276" s="67"/>
      <c r="H276" s="78"/>
      <c r="J276" s="67"/>
    </row>
    <row r="277" ht="14.25" customHeight="1">
      <c r="C277" s="67"/>
      <c r="H277" s="78"/>
      <c r="J277" s="67"/>
    </row>
    <row r="278" ht="14.25" customHeight="1">
      <c r="C278" s="67"/>
      <c r="H278" s="78"/>
      <c r="J278" s="67"/>
    </row>
    <row r="279" ht="14.25" customHeight="1">
      <c r="C279" s="67"/>
      <c r="H279" s="78"/>
      <c r="J279" s="67"/>
    </row>
    <row r="280" ht="14.25" customHeight="1">
      <c r="C280" s="67"/>
      <c r="H280" s="78"/>
      <c r="J280" s="67"/>
    </row>
    <row r="281" ht="14.25" customHeight="1">
      <c r="C281" s="67"/>
      <c r="H281" s="78"/>
      <c r="J281" s="67"/>
    </row>
    <row r="282" ht="14.25" customHeight="1">
      <c r="C282" s="67"/>
      <c r="H282" s="78"/>
      <c r="J282" s="67"/>
    </row>
    <row r="283" ht="14.25" customHeight="1">
      <c r="C283" s="67"/>
      <c r="H283" s="78"/>
      <c r="J283" s="67"/>
    </row>
    <row r="284" ht="14.25" customHeight="1">
      <c r="C284" s="67"/>
      <c r="H284" s="78"/>
      <c r="J284" s="67"/>
    </row>
    <row r="285" ht="14.25" customHeight="1">
      <c r="C285" s="67"/>
      <c r="H285" s="78"/>
      <c r="J285" s="67"/>
    </row>
    <row r="286" ht="14.25" customHeight="1">
      <c r="C286" s="67"/>
      <c r="H286" s="78"/>
      <c r="J286" s="67"/>
    </row>
    <row r="287" ht="14.25" customHeight="1">
      <c r="C287" s="67"/>
      <c r="H287" s="78"/>
      <c r="J287" s="67"/>
    </row>
    <row r="288" ht="14.25" customHeight="1">
      <c r="C288" s="67"/>
      <c r="H288" s="78"/>
      <c r="J288" s="67"/>
    </row>
    <row r="289" ht="14.25" customHeight="1">
      <c r="C289" s="67"/>
      <c r="H289" s="78"/>
      <c r="J289" s="67"/>
    </row>
    <row r="290" ht="14.25" customHeight="1">
      <c r="C290" s="67"/>
      <c r="H290" s="78"/>
      <c r="J290" s="67"/>
    </row>
    <row r="291" ht="14.25" customHeight="1">
      <c r="C291" s="67"/>
      <c r="H291" s="78"/>
      <c r="J291" s="67"/>
    </row>
    <row r="292" ht="14.25" customHeight="1">
      <c r="C292" s="67"/>
      <c r="H292" s="78"/>
      <c r="J292" s="67"/>
    </row>
    <row r="293" ht="14.25" customHeight="1">
      <c r="C293" s="67"/>
      <c r="H293" s="78"/>
      <c r="J293" s="67"/>
    </row>
    <row r="294" ht="14.25" customHeight="1">
      <c r="C294" s="67"/>
      <c r="H294" s="78"/>
      <c r="J294" s="67"/>
    </row>
    <row r="295" ht="14.25" customHeight="1">
      <c r="C295" s="67"/>
      <c r="H295" s="78"/>
      <c r="J295" s="67"/>
    </row>
    <row r="296" ht="14.25" customHeight="1">
      <c r="C296" s="67"/>
      <c r="H296" s="78"/>
      <c r="J296" s="67"/>
    </row>
    <row r="297" ht="14.25" customHeight="1">
      <c r="C297" s="67"/>
      <c r="H297" s="78"/>
      <c r="J297" s="67"/>
    </row>
    <row r="298" ht="14.25" customHeight="1">
      <c r="C298" s="67"/>
      <c r="H298" s="78"/>
      <c r="J298" s="67"/>
    </row>
    <row r="299" ht="14.25" customHeight="1">
      <c r="C299" s="67"/>
      <c r="H299" s="78"/>
      <c r="J299" s="67"/>
    </row>
    <row r="300" ht="14.25" customHeight="1">
      <c r="C300" s="67"/>
      <c r="H300" s="78"/>
      <c r="J300" s="67"/>
    </row>
    <row r="301" ht="14.25" customHeight="1">
      <c r="C301" s="67"/>
      <c r="H301" s="78"/>
      <c r="J301" s="67"/>
    </row>
    <row r="302" ht="14.25" customHeight="1">
      <c r="C302" s="67"/>
      <c r="H302" s="78"/>
      <c r="J302" s="67"/>
    </row>
    <row r="303" ht="14.25" customHeight="1">
      <c r="C303" s="67"/>
      <c r="H303" s="78"/>
      <c r="J303" s="67"/>
    </row>
    <row r="304" ht="14.25" customHeight="1">
      <c r="C304" s="67"/>
      <c r="H304" s="78"/>
      <c r="J304" s="67"/>
    </row>
    <row r="305" ht="14.25" customHeight="1">
      <c r="C305" s="67"/>
      <c r="H305" s="78"/>
      <c r="J305" s="67"/>
    </row>
    <row r="306" ht="14.25" customHeight="1">
      <c r="C306" s="67"/>
      <c r="H306" s="78"/>
      <c r="J306" s="67"/>
    </row>
    <row r="307" ht="14.25" customHeight="1">
      <c r="C307" s="67"/>
      <c r="H307" s="78"/>
      <c r="J307" s="67"/>
    </row>
    <row r="308" ht="14.25" customHeight="1">
      <c r="C308" s="67"/>
      <c r="H308" s="78"/>
      <c r="J308" s="67"/>
    </row>
    <row r="309" ht="14.25" customHeight="1">
      <c r="C309" s="67"/>
      <c r="H309" s="78"/>
      <c r="J309" s="67"/>
    </row>
    <row r="310" ht="14.25" customHeight="1">
      <c r="C310" s="67"/>
      <c r="H310" s="78"/>
      <c r="J310" s="67"/>
    </row>
    <row r="311" ht="14.25" customHeight="1">
      <c r="C311" s="67"/>
      <c r="H311" s="78"/>
      <c r="J311" s="67"/>
    </row>
    <row r="312" ht="14.25" customHeight="1">
      <c r="C312" s="67"/>
      <c r="H312" s="78"/>
      <c r="J312" s="67"/>
    </row>
    <row r="313" ht="14.25" customHeight="1">
      <c r="C313" s="67"/>
      <c r="H313" s="78"/>
      <c r="J313" s="67"/>
    </row>
    <row r="314" ht="14.25" customHeight="1">
      <c r="C314" s="67"/>
      <c r="H314" s="78"/>
      <c r="J314" s="67"/>
    </row>
    <row r="315" ht="14.25" customHeight="1">
      <c r="C315" s="67"/>
      <c r="H315" s="78"/>
      <c r="J315" s="67"/>
    </row>
    <row r="316" ht="14.25" customHeight="1">
      <c r="C316" s="67"/>
      <c r="H316" s="78"/>
      <c r="J316" s="67"/>
    </row>
    <row r="317" ht="14.25" customHeight="1">
      <c r="C317" s="67"/>
      <c r="H317" s="78"/>
      <c r="J317" s="67"/>
    </row>
    <row r="318" ht="14.25" customHeight="1">
      <c r="C318" s="67"/>
      <c r="H318" s="78"/>
      <c r="J318" s="67"/>
    </row>
    <row r="319" ht="14.25" customHeight="1">
      <c r="C319" s="67"/>
      <c r="H319" s="78"/>
      <c r="J319" s="67"/>
    </row>
    <row r="320" ht="14.25" customHeight="1">
      <c r="C320" s="67"/>
      <c r="H320" s="78"/>
      <c r="J320" s="67"/>
    </row>
    <row r="321" ht="14.25" customHeight="1">
      <c r="C321" s="67"/>
      <c r="H321" s="78"/>
      <c r="J321" s="67"/>
    </row>
    <row r="322" ht="14.25" customHeight="1">
      <c r="C322" s="67"/>
      <c r="H322" s="78"/>
      <c r="J322" s="67"/>
    </row>
    <row r="323" ht="14.25" customHeight="1">
      <c r="C323" s="67"/>
      <c r="H323" s="78"/>
      <c r="J323" s="67"/>
    </row>
    <row r="324" ht="14.25" customHeight="1">
      <c r="C324" s="67"/>
      <c r="H324" s="78"/>
      <c r="J324" s="67"/>
    </row>
    <row r="325" ht="14.25" customHeight="1">
      <c r="C325" s="67"/>
      <c r="H325" s="78"/>
      <c r="J325" s="67"/>
    </row>
    <row r="326" ht="14.25" customHeight="1">
      <c r="C326" s="67"/>
      <c r="H326" s="78"/>
      <c r="J326" s="67"/>
    </row>
    <row r="327" ht="14.25" customHeight="1">
      <c r="C327" s="67"/>
      <c r="H327" s="78"/>
      <c r="J327" s="67"/>
    </row>
    <row r="328" ht="14.25" customHeight="1">
      <c r="C328" s="67"/>
      <c r="H328" s="78"/>
      <c r="J328" s="67"/>
    </row>
    <row r="329" ht="14.25" customHeight="1">
      <c r="C329" s="67"/>
      <c r="H329" s="78"/>
      <c r="J329" s="67"/>
    </row>
    <row r="330" ht="14.25" customHeight="1">
      <c r="C330" s="67"/>
      <c r="H330" s="78"/>
      <c r="J330" s="67"/>
    </row>
    <row r="331" ht="14.25" customHeight="1">
      <c r="C331" s="67"/>
      <c r="H331" s="78"/>
      <c r="J331" s="67"/>
    </row>
    <row r="332" ht="14.25" customHeight="1">
      <c r="C332" s="67"/>
      <c r="H332" s="78"/>
      <c r="J332" s="67"/>
    </row>
    <row r="333" ht="14.25" customHeight="1">
      <c r="C333" s="67"/>
      <c r="H333" s="78"/>
      <c r="J333" s="67"/>
    </row>
    <row r="334" ht="14.25" customHeight="1">
      <c r="C334" s="67"/>
      <c r="H334" s="78"/>
      <c r="J334" s="67"/>
    </row>
    <row r="335" ht="14.25" customHeight="1">
      <c r="C335" s="67"/>
      <c r="H335" s="78"/>
      <c r="J335" s="67"/>
    </row>
    <row r="336" ht="14.25" customHeight="1">
      <c r="C336" s="67"/>
      <c r="H336" s="78"/>
      <c r="J336" s="67"/>
    </row>
    <row r="337" ht="14.25" customHeight="1">
      <c r="C337" s="67"/>
      <c r="H337" s="78"/>
      <c r="J337" s="67"/>
    </row>
    <row r="338" ht="14.25" customHeight="1">
      <c r="C338" s="67"/>
      <c r="H338" s="78"/>
      <c r="J338" s="67"/>
    </row>
    <row r="339" ht="14.25" customHeight="1">
      <c r="C339" s="67"/>
      <c r="H339" s="78"/>
      <c r="J339" s="67"/>
    </row>
    <row r="340" ht="14.25" customHeight="1">
      <c r="C340" s="67"/>
      <c r="H340" s="78"/>
      <c r="J340" s="67"/>
    </row>
    <row r="341" ht="14.25" customHeight="1">
      <c r="C341" s="67"/>
      <c r="H341" s="78"/>
      <c r="J341" s="67"/>
    </row>
    <row r="342" ht="14.25" customHeight="1">
      <c r="C342" s="67"/>
      <c r="H342" s="78"/>
      <c r="J342" s="67"/>
    </row>
    <row r="343" ht="14.25" customHeight="1">
      <c r="C343" s="67"/>
      <c r="H343" s="78"/>
      <c r="J343" s="67"/>
    </row>
    <row r="344" ht="14.25" customHeight="1">
      <c r="C344" s="67"/>
      <c r="H344" s="78"/>
      <c r="J344" s="67"/>
    </row>
    <row r="345" ht="14.25" customHeight="1">
      <c r="C345" s="67"/>
      <c r="H345" s="78"/>
      <c r="J345" s="67"/>
    </row>
    <row r="346" ht="14.25" customHeight="1">
      <c r="C346" s="67"/>
      <c r="H346" s="78"/>
      <c r="J346" s="67"/>
    </row>
    <row r="347" ht="14.25" customHeight="1">
      <c r="C347" s="67"/>
      <c r="H347" s="78"/>
      <c r="J347" s="67"/>
    </row>
    <row r="348" ht="14.25" customHeight="1">
      <c r="C348" s="67"/>
      <c r="H348" s="78"/>
      <c r="J348" s="67"/>
    </row>
    <row r="349" ht="14.25" customHeight="1">
      <c r="C349" s="67"/>
      <c r="H349" s="78"/>
      <c r="J349" s="67"/>
    </row>
    <row r="350" ht="14.25" customHeight="1">
      <c r="C350" s="67"/>
      <c r="H350" s="78"/>
      <c r="J350" s="67"/>
    </row>
    <row r="351" ht="14.25" customHeight="1">
      <c r="C351" s="67"/>
      <c r="H351" s="78"/>
      <c r="J351" s="67"/>
    </row>
    <row r="352" ht="14.25" customHeight="1">
      <c r="C352" s="67"/>
      <c r="H352" s="78"/>
      <c r="J352" s="67"/>
    </row>
    <row r="353" ht="14.25" customHeight="1">
      <c r="C353" s="67"/>
      <c r="H353" s="78"/>
      <c r="J353" s="67"/>
    </row>
    <row r="354" ht="14.25" customHeight="1">
      <c r="C354" s="67"/>
      <c r="H354" s="78"/>
      <c r="J354" s="67"/>
    </row>
    <row r="355" ht="14.25" customHeight="1">
      <c r="C355" s="67"/>
      <c r="H355" s="78"/>
      <c r="J355" s="67"/>
    </row>
    <row r="356" ht="14.25" customHeight="1">
      <c r="C356" s="67"/>
      <c r="H356" s="78"/>
      <c r="J356" s="67"/>
    </row>
    <row r="357" ht="14.25" customHeight="1">
      <c r="C357" s="67"/>
      <c r="H357" s="78"/>
      <c r="J357" s="67"/>
    </row>
    <row r="358" ht="14.25" customHeight="1">
      <c r="C358" s="67"/>
      <c r="H358" s="78"/>
      <c r="J358" s="67"/>
    </row>
    <row r="359" ht="14.25" customHeight="1">
      <c r="C359" s="67"/>
      <c r="H359" s="78"/>
      <c r="J359" s="67"/>
    </row>
    <row r="360" ht="14.25" customHeight="1">
      <c r="C360" s="67"/>
      <c r="H360" s="78"/>
      <c r="J360" s="67"/>
    </row>
    <row r="361" ht="14.25" customHeight="1">
      <c r="C361" s="67"/>
      <c r="H361" s="78"/>
      <c r="J361" s="67"/>
    </row>
    <row r="362" ht="14.25" customHeight="1">
      <c r="C362" s="67"/>
      <c r="H362" s="78"/>
      <c r="J362" s="67"/>
    </row>
    <row r="363" ht="14.25" customHeight="1">
      <c r="C363" s="67"/>
      <c r="H363" s="78"/>
      <c r="J363" s="67"/>
    </row>
    <row r="364" ht="14.25" customHeight="1">
      <c r="C364" s="67"/>
      <c r="H364" s="78"/>
      <c r="J364" s="67"/>
    </row>
    <row r="365" ht="14.25" customHeight="1">
      <c r="C365" s="67"/>
      <c r="H365" s="78"/>
      <c r="J365" s="67"/>
    </row>
    <row r="366" ht="14.25" customHeight="1">
      <c r="C366" s="67"/>
      <c r="H366" s="78"/>
      <c r="J366" s="67"/>
    </row>
    <row r="367" ht="14.25" customHeight="1">
      <c r="C367" s="67"/>
      <c r="H367" s="78"/>
      <c r="J367" s="67"/>
    </row>
    <row r="368" ht="14.25" customHeight="1">
      <c r="C368" s="67"/>
      <c r="H368" s="78"/>
      <c r="J368" s="67"/>
    </row>
    <row r="369" ht="14.25" customHeight="1">
      <c r="C369" s="67"/>
      <c r="H369" s="78"/>
      <c r="J369" s="67"/>
    </row>
    <row r="370" ht="14.25" customHeight="1">
      <c r="C370" s="67"/>
      <c r="H370" s="78"/>
      <c r="J370" s="67"/>
    </row>
    <row r="371" ht="14.25" customHeight="1">
      <c r="C371" s="67"/>
      <c r="H371" s="78"/>
      <c r="J371" s="67"/>
    </row>
    <row r="372" ht="14.25" customHeight="1">
      <c r="C372" s="67"/>
      <c r="H372" s="78"/>
      <c r="J372" s="67"/>
    </row>
    <row r="373" ht="14.25" customHeight="1">
      <c r="C373" s="67"/>
      <c r="H373" s="78"/>
      <c r="J373" s="67"/>
    </row>
    <row r="374" ht="14.25" customHeight="1">
      <c r="C374" s="67"/>
      <c r="H374" s="78"/>
      <c r="J374" s="67"/>
    </row>
    <row r="375" ht="14.25" customHeight="1">
      <c r="C375" s="67"/>
      <c r="H375" s="78"/>
      <c r="J375" s="67"/>
    </row>
    <row r="376" ht="14.25" customHeight="1">
      <c r="C376" s="67"/>
      <c r="H376" s="78"/>
      <c r="J376" s="67"/>
    </row>
    <row r="377" ht="14.25" customHeight="1">
      <c r="C377" s="67"/>
      <c r="H377" s="78"/>
      <c r="J377" s="67"/>
    </row>
    <row r="378" ht="14.25" customHeight="1">
      <c r="C378" s="67"/>
      <c r="H378" s="78"/>
      <c r="J378" s="67"/>
    </row>
    <row r="379" ht="14.25" customHeight="1">
      <c r="C379" s="67"/>
      <c r="H379" s="78"/>
      <c r="J379" s="67"/>
    </row>
    <row r="380" ht="14.25" customHeight="1">
      <c r="C380" s="67"/>
      <c r="H380" s="78"/>
      <c r="J380" s="67"/>
    </row>
    <row r="381" ht="14.25" customHeight="1">
      <c r="C381" s="67"/>
      <c r="H381" s="78"/>
      <c r="J381" s="67"/>
    </row>
    <row r="382" ht="14.25" customHeight="1">
      <c r="C382" s="67"/>
      <c r="H382" s="78"/>
      <c r="J382" s="67"/>
    </row>
    <row r="383" ht="14.25" customHeight="1">
      <c r="C383" s="67"/>
      <c r="H383" s="78"/>
      <c r="J383" s="67"/>
    </row>
    <row r="384" ht="14.25" customHeight="1">
      <c r="C384" s="67"/>
      <c r="H384" s="78"/>
      <c r="J384" s="67"/>
    </row>
    <row r="385" ht="14.25" customHeight="1">
      <c r="C385" s="67"/>
      <c r="H385" s="78"/>
      <c r="J385" s="67"/>
    </row>
    <row r="386" ht="14.25" customHeight="1">
      <c r="C386" s="67"/>
      <c r="H386" s="78"/>
      <c r="J386" s="67"/>
    </row>
    <row r="387" ht="14.25" customHeight="1">
      <c r="C387" s="67"/>
      <c r="H387" s="78"/>
      <c r="J387" s="67"/>
    </row>
    <row r="388" ht="14.25" customHeight="1">
      <c r="C388" s="67"/>
      <c r="H388" s="78"/>
      <c r="J388" s="67"/>
    </row>
    <row r="389" ht="14.25" customHeight="1">
      <c r="C389" s="67"/>
      <c r="H389" s="78"/>
      <c r="J389" s="67"/>
    </row>
    <row r="390" ht="14.25" customHeight="1">
      <c r="C390" s="67"/>
      <c r="H390" s="78"/>
      <c r="J390" s="67"/>
    </row>
    <row r="391" ht="14.25" customHeight="1">
      <c r="C391" s="67"/>
      <c r="H391" s="78"/>
      <c r="J391" s="67"/>
    </row>
    <row r="392" ht="14.25" customHeight="1">
      <c r="C392" s="67"/>
      <c r="H392" s="78"/>
      <c r="J392" s="67"/>
    </row>
    <row r="393" ht="14.25" customHeight="1">
      <c r="C393" s="67"/>
      <c r="H393" s="78"/>
      <c r="J393" s="67"/>
    </row>
    <row r="394" ht="14.25" customHeight="1">
      <c r="C394" s="67"/>
      <c r="H394" s="78"/>
      <c r="J394" s="67"/>
    </row>
    <row r="395" ht="14.25" customHeight="1">
      <c r="C395" s="67"/>
      <c r="H395" s="78"/>
      <c r="J395" s="67"/>
    </row>
    <row r="396" ht="14.25" customHeight="1">
      <c r="C396" s="67"/>
      <c r="H396" s="78"/>
      <c r="J396" s="67"/>
    </row>
    <row r="397" ht="14.25" customHeight="1">
      <c r="C397" s="67"/>
      <c r="H397" s="78"/>
      <c r="J397" s="67"/>
    </row>
    <row r="398" ht="14.25" customHeight="1">
      <c r="C398" s="67"/>
      <c r="H398" s="78"/>
      <c r="J398" s="67"/>
    </row>
    <row r="399" ht="14.25" customHeight="1">
      <c r="C399" s="67"/>
      <c r="H399" s="78"/>
      <c r="J399" s="67"/>
    </row>
    <row r="400" ht="14.25" customHeight="1">
      <c r="C400" s="67"/>
      <c r="H400" s="78"/>
      <c r="J400" s="67"/>
    </row>
    <row r="401" ht="14.25" customHeight="1">
      <c r="C401" s="67"/>
      <c r="H401" s="78"/>
      <c r="J401" s="67"/>
    </row>
    <row r="402" ht="14.25" customHeight="1">
      <c r="C402" s="67"/>
      <c r="H402" s="78"/>
      <c r="J402" s="67"/>
    </row>
    <row r="403" ht="14.25" customHeight="1">
      <c r="C403" s="67"/>
      <c r="H403" s="78"/>
      <c r="J403" s="67"/>
    </row>
    <row r="404" ht="14.25" customHeight="1">
      <c r="C404" s="67"/>
      <c r="H404" s="78"/>
      <c r="J404" s="67"/>
    </row>
    <row r="405" ht="14.25" customHeight="1">
      <c r="C405" s="67"/>
      <c r="H405" s="78"/>
      <c r="J405" s="67"/>
    </row>
    <row r="406" ht="14.25" customHeight="1">
      <c r="C406" s="67"/>
      <c r="H406" s="78"/>
      <c r="J406" s="67"/>
    </row>
    <row r="407" ht="14.25" customHeight="1">
      <c r="C407" s="67"/>
      <c r="H407" s="78"/>
      <c r="J407" s="67"/>
    </row>
    <row r="408" ht="14.25" customHeight="1">
      <c r="C408" s="67"/>
      <c r="H408" s="78"/>
      <c r="J408" s="67"/>
    </row>
    <row r="409" ht="14.25" customHeight="1">
      <c r="C409" s="67"/>
      <c r="H409" s="78"/>
      <c r="J409" s="67"/>
    </row>
    <row r="410" ht="14.25" customHeight="1">
      <c r="C410" s="67"/>
      <c r="H410" s="78"/>
      <c r="J410" s="67"/>
    </row>
    <row r="411" ht="14.25" customHeight="1">
      <c r="C411" s="67"/>
      <c r="H411" s="78"/>
      <c r="J411" s="67"/>
    </row>
    <row r="412" ht="14.25" customHeight="1">
      <c r="C412" s="67"/>
      <c r="H412" s="78"/>
      <c r="J412" s="67"/>
    </row>
    <row r="413" ht="14.25" customHeight="1">
      <c r="C413" s="67"/>
      <c r="H413" s="78"/>
      <c r="J413" s="67"/>
    </row>
    <row r="414" ht="14.25" customHeight="1">
      <c r="C414" s="67"/>
      <c r="H414" s="78"/>
      <c r="J414" s="67"/>
    </row>
    <row r="415" ht="14.25" customHeight="1">
      <c r="C415" s="67"/>
      <c r="H415" s="78"/>
      <c r="J415" s="67"/>
    </row>
    <row r="416" ht="14.25" customHeight="1">
      <c r="C416" s="67"/>
      <c r="H416" s="78"/>
      <c r="J416" s="67"/>
    </row>
    <row r="417" ht="14.25" customHeight="1">
      <c r="C417" s="67"/>
      <c r="H417" s="78"/>
      <c r="J417" s="67"/>
    </row>
    <row r="418" ht="14.25" customHeight="1">
      <c r="C418" s="67"/>
      <c r="H418" s="78"/>
      <c r="J418" s="67"/>
    </row>
    <row r="419" ht="14.25" customHeight="1">
      <c r="C419" s="67"/>
      <c r="H419" s="78"/>
      <c r="J419" s="67"/>
    </row>
    <row r="420" ht="14.25" customHeight="1">
      <c r="C420" s="67"/>
      <c r="H420" s="78"/>
      <c r="J420" s="67"/>
    </row>
    <row r="421" ht="14.25" customHeight="1">
      <c r="C421" s="67"/>
      <c r="H421" s="78"/>
      <c r="J421" s="67"/>
    </row>
    <row r="422" ht="14.25" customHeight="1">
      <c r="C422" s="67"/>
      <c r="H422" s="78"/>
      <c r="J422" s="67"/>
    </row>
    <row r="423" ht="14.25" customHeight="1">
      <c r="C423" s="67"/>
      <c r="H423" s="78"/>
      <c r="J423" s="67"/>
    </row>
    <row r="424" ht="14.25" customHeight="1">
      <c r="C424" s="67"/>
      <c r="H424" s="78"/>
      <c r="J424" s="67"/>
    </row>
    <row r="425" ht="14.25" customHeight="1">
      <c r="C425" s="67"/>
      <c r="H425" s="78"/>
      <c r="J425" s="67"/>
    </row>
    <row r="426" ht="14.25" customHeight="1">
      <c r="C426" s="67"/>
      <c r="H426" s="78"/>
      <c r="J426" s="67"/>
    </row>
    <row r="427" ht="14.25" customHeight="1">
      <c r="C427" s="67"/>
      <c r="H427" s="78"/>
      <c r="J427" s="67"/>
    </row>
    <row r="428" ht="14.25" customHeight="1">
      <c r="C428" s="67"/>
      <c r="H428" s="78"/>
      <c r="J428" s="67"/>
    </row>
    <row r="429" ht="14.25" customHeight="1">
      <c r="C429" s="67"/>
      <c r="H429" s="78"/>
      <c r="J429" s="67"/>
    </row>
    <row r="430" ht="14.25" customHeight="1">
      <c r="C430" s="67"/>
      <c r="H430" s="78"/>
      <c r="J430" s="67"/>
    </row>
    <row r="431" ht="14.25" customHeight="1">
      <c r="C431" s="67"/>
      <c r="H431" s="78"/>
      <c r="J431" s="67"/>
    </row>
    <row r="432" ht="14.25" customHeight="1">
      <c r="C432" s="67"/>
      <c r="H432" s="78"/>
      <c r="J432" s="67"/>
    </row>
    <row r="433" ht="14.25" customHeight="1">
      <c r="C433" s="67"/>
      <c r="H433" s="78"/>
      <c r="J433" s="67"/>
    </row>
    <row r="434" ht="14.25" customHeight="1">
      <c r="C434" s="67"/>
      <c r="H434" s="78"/>
      <c r="J434" s="67"/>
    </row>
    <row r="435" ht="14.25" customHeight="1">
      <c r="C435" s="67"/>
      <c r="H435" s="78"/>
      <c r="J435" s="67"/>
    </row>
    <row r="436" ht="14.25" customHeight="1">
      <c r="C436" s="67"/>
      <c r="H436" s="78"/>
      <c r="J436" s="67"/>
    </row>
    <row r="437" ht="14.25" customHeight="1">
      <c r="C437" s="67"/>
      <c r="H437" s="78"/>
      <c r="J437" s="67"/>
    </row>
    <row r="438" ht="14.25" customHeight="1">
      <c r="C438" s="67"/>
      <c r="H438" s="78"/>
      <c r="J438" s="67"/>
    </row>
    <row r="439" ht="14.25" customHeight="1">
      <c r="C439" s="67"/>
      <c r="H439" s="78"/>
      <c r="J439" s="67"/>
    </row>
    <row r="440" ht="14.25" customHeight="1">
      <c r="C440" s="67"/>
      <c r="H440" s="78"/>
      <c r="J440" s="67"/>
    </row>
    <row r="441" ht="14.25" customHeight="1">
      <c r="C441" s="67"/>
      <c r="H441" s="78"/>
      <c r="J441" s="67"/>
    </row>
    <row r="442" ht="14.25" customHeight="1">
      <c r="C442" s="67"/>
      <c r="H442" s="78"/>
      <c r="J442" s="67"/>
    </row>
    <row r="443" ht="14.25" customHeight="1">
      <c r="C443" s="67"/>
      <c r="H443" s="78"/>
      <c r="J443" s="67"/>
    </row>
    <row r="444" ht="14.25" customHeight="1">
      <c r="C444" s="67"/>
      <c r="H444" s="78"/>
      <c r="J444" s="67"/>
    </row>
    <row r="445" ht="14.25" customHeight="1">
      <c r="C445" s="67"/>
      <c r="H445" s="78"/>
      <c r="J445" s="67"/>
    </row>
    <row r="446" ht="14.25" customHeight="1">
      <c r="C446" s="67"/>
      <c r="H446" s="78"/>
      <c r="J446" s="67"/>
    </row>
    <row r="447" ht="14.25" customHeight="1">
      <c r="C447" s="67"/>
      <c r="H447" s="78"/>
      <c r="J447" s="67"/>
    </row>
    <row r="448" ht="14.25" customHeight="1">
      <c r="C448" s="67"/>
      <c r="H448" s="78"/>
      <c r="J448" s="67"/>
    </row>
    <row r="449" ht="14.25" customHeight="1">
      <c r="C449" s="67"/>
      <c r="H449" s="78"/>
      <c r="J449" s="67"/>
    </row>
    <row r="450" ht="14.25" customHeight="1">
      <c r="C450" s="67"/>
      <c r="H450" s="78"/>
      <c r="J450" s="67"/>
    </row>
    <row r="451" ht="14.25" customHeight="1">
      <c r="C451" s="67"/>
      <c r="H451" s="78"/>
      <c r="J451" s="67"/>
    </row>
    <row r="452" ht="14.25" customHeight="1">
      <c r="C452" s="67"/>
      <c r="H452" s="78"/>
      <c r="J452" s="67"/>
    </row>
    <row r="453" ht="14.25" customHeight="1">
      <c r="C453" s="67"/>
      <c r="H453" s="78"/>
      <c r="J453" s="67"/>
    </row>
    <row r="454" ht="14.25" customHeight="1">
      <c r="C454" s="67"/>
      <c r="H454" s="78"/>
      <c r="J454" s="67"/>
    </row>
    <row r="455" ht="14.25" customHeight="1">
      <c r="C455" s="67"/>
      <c r="H455" s="78"/>
      <c r="J455" s="67"/>
    </row>
    <row r="456" ht="14.25" customHeight="1">
      <c r="C456" s="67"/>
      <c r="H456" s="78"/>
      <c r="J456" s="67"/>
    </row>
    <row r="457" ht="14.25" customHeight="1">
      <c r="C457" s="67"/>
      <c r="H457" s="78"/>
      <c r="J457" s="67"/>
    </row>
    <row r="458" ht="14.25" customHeight="1">
      <c r="C458" s="67"/>
      <c r="H458" s="78"/>
      <c r="J458" s="67"/>
    </row>
    <row r="459" ht="14.25" customHeight="1">
      <c r="C459" s="67"/>
      <c r="H459" s="78"/>
      <c r="J459" s="67"/>
    </row>
    <row r="460" ht="14.25" customHeight="1">
      <c r="C460" s="67"/>
      <c r="H460" s="78"/>
      <c r="J460" s="67"/>
    </row>
    <row r="461" ht="14.25" customHeight="1">
      <c r="C461" s="67"/>
      <c r="H461" s="78"/>
      <c r="J461" s="67"/>
    </row>
    <row r="462" ht="14.25" customHeight="1">
      <c r="C462" s="67"/>
      <c r="H462" s="78"/>
      <c r="J462" s="67"/>
    </row>
    <row r="463" ht="14.25" customHeight="1">
      <c r="C463" s="67"/>
      <c r="H463" s="78"/>
      <c r="J463" s="67"/>
    </row>
    <row r="464" ht="14.25" customHeight="1">
      <c r="C464" s="67"/>
      <c r="H464" s="78"/>
      <c r="J464" s="67"/>
    </row>
    <row r="465" ht="14.25" customHeight="1">
      <c r="C465" s="67"/>
      <c r="H465" s="78"/>
      <c r="J465" s="67"/>
    </row>
    <row r="466" ht="14.25" customHeight="1">
      <c r="C466" s="67"/>
      <c r="H466" s="78"/>
      <c r="J466" s="67"/>
    </row>
    <row r="467" ht="14.25" customHeight="1">
      <c r="C467" s="67"/>
      <c r="H467" s="78"/>
      <c r="J467" s="67"/>
    </row>
    <row r="468" ht="14.25" customHeight="1">
      <c r="C468" s="67"/>
      <c r="H468" s="78"/>
      <c r="J468" s="67"/>
    </row>
    <row r="469" ht="14.25" customHeight="1">
      <c r="C469" s="67"/>
      <c r="H469" s="78"/>
      <c r="J469" s="67"/>
    </row>
    <row r="470" ht="14.25" customHeight="1">
      <c r="C470" s="67"/>
      <c r="H470" s="78"/>
      <c r="J470" s="67"/>
    </row>
    <row r="471" ht="14.25" customHeight="1">
      <c r="C471" s="67"/>
      <c r="H471" s="78"/>
      <c r="J471" s="67"/>
    </row>
    <row r="472" ht="14.25" customHeight="1">
      <c r="C472" s="67"/>
      <c r="H472" s="78"/>
      <c r="J472" s="67"/>
    </row>
    <row r="473" ht="14.25" customHeight="1">
      <c r="C473" s="67"/>
      <c r="H473" s="78"/>
      <c r="J473" s="67"/>
    </row>
    <row r="474" ht="14.25" customHeight="1">
      <c r="C474" s="67"/>
      <c r="H474" s="78"/>
      <c r="J474" s="67"/>
    </row>
    <row r="475" ht="14.25" customHeight="1">
      <c r="C475" s="67"/>
      <c r="H475" s="78"/>
      <c r="J475" s="67"/>
    </row>
    <row r="476" ht="14.25" customHeight="1">
      <c r="C476" s="67"/>
      <c r="H476" s="78"/>
      <c r="J476" s="67"/>
    </row>
    <row r="477" ht="14.25" customHeight="1">
      <c r="C477" s="67"/>
      <c r="H477" s="78"/>
      <c r="J477" s="67"/>
    </row>
    <row r="478" ht="14.25" customHeight="1">
      <c r="C478" s="67"/>
      <c r="H478" s="78"/>
      <c r="J478" s="67"/>
    </row>
    <row r="479" ht="14.25" customHeight="1">
      <c r="C479" s="67"/>
      <c r="H479" s="78"/>
      <c r="J479" s="67"/>
    </row>
    <row r="480" ht="14.25" customHeight="1">
      <c r="C480" s="67"/>
      <c r="H480" s="78"/>
      <c r="J480" s="67"/>
    </row>
    <row r="481" ht="14.25" customHeight="1">
      <c r="C481" s="67"/>
      <c r="H481" s="78"/>
      <c r="J481" s="67"/>
    </row>
    <row r="482" ht="14.25" customHeight="1">
      <c r="C482" s="67"/>
      <c r="H482" s="78"/>
      <c r="J482" s="67"/>
    </row>
    <row r="483" ht="14.25" customHeight="1">
      <c r="C483" s="67"/>
      <c r="H483" s="78"/>
      <c r="J483" s="67"/>
    </row>
    <row r="484" ht="14.25" customHeight="1">
      <c r="C484" s="67"/>
      <c r="H484" s="78"/>
      <c r="J484" s="67"/>
    </row>
    <row r="485" ht="14.25" customHeight="1">
      <c r="C485" s="67"/>
      <c r="H485" s="78"/>
      <c r="J485" s="67"/>
    </row>
    <row r="486" ht="14.25" customHeight="1">
      <c r="C486" s="67"/>
      <c r="H486" s="78"/>
      <c r="J486" s="67"/>
    </row>
    <row r="487" ht="14.25" customHeight="1">
      <c r="C487" s="67"/>
      <c r="H487" s="78"/>
      <c r="J487" s="67"/>
    </row>
    <row r="488" ht="14.25" customHeight="1">
      <c r="C488" s="67"/>
      <c r="H488" s="78"/>
      <c r="J488" s="67"/>
    </row>
    <row r="489" ht="14.25" customHeight="1">
      <c r="C489" s="67"/>
      <c r="H489" s="78"/>
      <c r="J489" s="67"/>
    </row>
    <row r="490" ht="14.25" customHeight="1">
      <c r="C490" s="67"/>
      <c r="H490" s="78"/>
      <c r="J490" s="67"/>
    </row>
    <row r="491" ht="14.25" customHeight="1">
      <c r="C491" s="67"/>
      <c r="H491" s="78"/>
      <c r="J491" s="67"/>
    </row>
    <row r="492" ht="14.25" customHeight="1">
      <c r="C492" s="67"/>
      <c r="H492" s="78"/>
      <c r="J492" s="67"/>
    </row>
    <row r="493" ht="14.25" customHeight="1">
      <c r="C493" s="67"/>
      <c r="H493" s="78"/>
      <c r="J493" s="67"/>
    </row>
    <row r="494" ht="14.25" customHeight="1">
      <c r="C494" s="67"/>
      <c r="H494" s="78"/>
      <c r="J494" s="67"/>
    </row>
    <row r="495" ht="14.25" customHeight="1">
      <c r="C495" s="67"/>
      <c r="H495" s="78"/>
      <c r="J495" s="67"/>
    </row>
    <row r="496" ht="14.25" customHeight="1">
      <c r="C496" s="67"/>
      <c r="H496" s="78"/>
      <c r="J496" s="67"/>
    </row>
    <row r="497" ht="14.25" customHeight="1">
      <c r="C497" s="67"/>
      <c r="H497" s="78"/>
      <c r="J497" s="67"/>
    </row>
    <row r="498" ht="14.25" customHeight="1">
      <c r="C498" s="67"/>
      <c r="H498" s="78"/>
      <c r="J498" s="67"/>
    </row>
    <row r="499" ht="14.25" customHeight="1">
      <c r="C499" s="67"/>
      <c r="H499" s="78"/>
      <c r="J499" s="67"/>
    </row>
    <row r="500" ht="14.25" customHeight="1">
      <c r="C500" s="67"/>
      <c r="H500" s="78"/>
      <c r="J500" s="67"/>
    </row>
    <row r="501" ht="14.25" customHeight="1">
      <c r="C501" s="67"/>
      <c r="H501" s="78"/>
      <c r="J501" s="67"/>
    </row>
    <row r="502" ht="14.25" customHeight="1">
      <c r="C502" s="67"/>
      <c r="H502" s="78"/>
      <c r="J502" s="67"/>
    </row>
    <row r="503" ht="14.25" customHeight="1">
      <c r="C503" s="67"/>
      <c r="H503" s="78"/>
      <c r="J503" s="67"/>
    </row>
    <row r="504" ht="14.25" customHeight="1">
      <c r="C504" s="67"/>
      <c r="H504" s="78"/>
      <c r="J504" s="67"/>
    </row>
    <row r="505" ht="14.25" customHeight="1">
      <c r="C505" s="67"/>
      <c r="H505" s="78"/>
      <c r="J505" s="67"/>
    </row>
    <row r="506" ht="14.25" customHeight="1">
      <c r="C506" s="67"/>
      <c r="H506" s="78"/>
      <c r="J506" s="67"/>
    </row>
    <row r="507" ht="14.25" customHeight="1">
      <c r="C507" s="67"/>
      <c r="H507" s="78"/>
      <c r="J507" s="67"/>
    </row>
    <row r="508" ht="14.25" customHeight="1">
      <c r="C508" s="67"/>
      <c r="H508" s="78"/>
      <c r="J508" s="67"/>
    </row>
    <row r="509" ht="14.25" customHeight="1">
      <c r="C509" s="67"/>
      <c r="H509" s="78"/>
      <c r="J509" s="67"/>
    </row>
    <row r="510" ht="14.25" customHeight="1">
      <c r="C510" s="67"/>
      <c r="H510" s="78"/>
      <c r="J510" s="67"/>
    </row>
    <row r="511" ht="14.25" customHeight="1">
      <c r="C511" s="67"/>
      <c r="H511" s="78"/>
      <c r="J511" s="67"/>
    </row>
    <row r="512" ht="14.25" customHeight="1">
      <c r="C512" s="67"/>
      <c r="H512" s="78"/>
      <c r="J512" s="67"/>
    </row>
    <row r="513" ht="14.25" customHeight="1">
      <c r="C513" s="67"/>
      <c r="H513" s="78"/>
      <c r="J513" s="67"/>
    </row>
    <row r="514" ht="14.25" customHeight="1">
      <c r="C514" s="67"/>
      <c r="H514" s="78"/>
      <c r="J514" s="67"/>
    </row>
    <row r="515" ht="14.25" customHeight="1">
      <c r="C515" s="67"/>
      <c r="H515" s="78"/>
      <c r="J515" s="67"/>
    </row>
    <row r="516" ht="14.25" customHeight="1">
      <c r="C516" s="67"/>
      <c r="H516" s="78"/>
      <c r="J516" s="67"/>
    </row>
    <row r="517" ht="14.25" customHeight="1">
      <c r="C517" s="67"/>
      <c r="H517" s="78"/>
      <c r="J517" s="67"/>
    </row>
    <row r="518" ht="14.25" customHeight="1">
      <c r="C518" s="67"/>
      <c r="H518" s="78"/>
      <c r="J518" s="67"/>
    </row>
    <row r="519" ht="14.25" customHeight="1">
      <c r="C519" s="67"/>
      <c r="H519" s="78"/>
      <c r="J519" s="67"/>
    </row>
    <row r="520" ht="14.25" customHeight="1">
      <c r="C520" s="67"/>
      <c r="H520" s="78"/>
      <c r="J520" s="67"/>
    </row>
    <row r="521" ht="14.25" customHeight="1">
      <c r="C521" s="67"/>
      <c r="H521" s="78"/>
      <c r="J521" s="67"/>
    </row>
    <row r="522" ht="14.25" customHeight="1">
      <c r="C522" s="67"/>
      <c r="H522" s="78"/>
      <c r="J522" s="67"/>
    </row>
    <row r="523" ht="14.25" customHeight="1">
      <c r="C523" s="67"/>
      <c r="H523" s="78"/>
      <c r="J523" s="67"/>
    </row>
    <row r="524" ht="14.25" customHeight="1">
      <c r="C524" s="67"/>
      <c r="H524" s="78"/>
      <c r="J524" s="67"/>
    </row>
    <row r="525" ht="14.25" customHeight="1">
      <c r="C525" s="67"/>
      <c r="H525" s="78"/>
      <c r="J525" s="67"/>
    </row>
    <row r="526" ht="14.25" customHeight="1">
      <c r="C526" s="67"/>
      <c r="H526" s="78"/>
      <c r="J526" s="67"/>
    </row>
    <row r="527" ht="14.25" customHeight="1">
      <c r="C527" s="67"/>
      <c r="H527" s="78"/>
      <c r="J527" s="67"/>
    </row>
    <row r="528" ht="14.25" customHeight="1">
      <c r="C528" s="67"/>
      <c r="H528" s="78"/>
      <c r="J528" s="67"/>
    </row>
    <row r="529" ht="14.25" customHeight="1">
      <c r="C529" s="67"/>
      <c r="H529" s="78"/>
      <c r="J529" s="67"/>
    </row>
    <row r="530" ht="14.25" customHeight="1">
      <c r="C530" s="67"/>
      <c r="H530" s="78"/>
      <c r="J530" s="67"/>
    </row>
    <row r="531" ht="14.25" customHeight="1">
      <c r="C531" s="67"/>
      <c r="H531" s="78"/>
      <c r="J531" s="67"/>
    </row>
    <row r="532" ht="14.25" customHeight="1">
      <c r="C532" s="67"/>
      <c r="H532" s="78"/>
      <c r="J532" s="67"/>
    </row>
    <row r="533" ht="14.25" customHeight="1">
      <c r="C533" s="67"/>
      <c r="H533" s="78"/>
      <c r="J533" s="67"/>
    </row>
    <row r="534" ht="14.25" customHeight="1">
      <c r="C534" s="67"/>
      <c r="H534" s="78"/>
      <c r="J534" s="67"/>
    </row>
    <row r="535" ht="14.25" customHeight="1">
      <c r="C535" s="67"/>
      <c r="H535" s="78"/>
      <c r="J535" s="67"/>
    </row>
    <row r="536" ht="14.25" customHeight="1">
      <c r="C536" s="67"/>
      <c r="H536" s="78"/>
      <c r="J536" s="67"/>
    </row>
    <row r="537" ht="14.25" customHeight="1">
      <c r="C537" s="67"/>
      <c r="H537" s="78"/>
      <c r="J537" s="67"/>
    </row>
    <row r="538" ht="14.25" customHeight="1">
      <c r="C538" s="67"/>
      <c r="H538" s="78"/>
      <c r="J538" s="67"/>
    </row>
    <row r="539" ht="14.25" customHeight="1">
      <c r="C539" s="67"/>
      <c r="H539" s="78"/>
      <c r="J539" s="67"/>
    </row>
    <row r="540" ht="14.25" customHeight="1">
      <c r="C540" s="67"/>
      <c r="H540" s="78"/>
      <c r="J540" s="67"/>
    </row>
    <row r="541" ht="14.25" customHeight="1">
      <c r="C541" s="67"/>
      <c r="H541" s="78"/>
      <c r="J541" s="67"/>
    </row>
    <row r="542" ht="14.25" customHeight="1">
      <c r="C542" s="67"/>
      <c r="H542" s="78"/>
      <c r="J542" s="67"/>
    </row>
    <row r="543" ht="14.25" customHeight="1">
      <c r="C543" s="67"/>
      <c r="H543" s="78"/>
      <c r="J543" s="67"/>
    </row>
    <row r="544" ht="14.25" customHeight="1">
      <c r="C544" s="67"/>
      <c r="H544" s="78"/>
      <c r="J544" s="67"/>
    </row>
    <row r="545" ht="14.25" customHeight="1">
      <c r="C545" s="67"/>
      <c r="H545" s="78"/>
      <c r="J545" s="67"/>
    </row>
    <row r="546" ht="14.25" customHeight="1">
      <c r="C546" s="67"/>
      <c r="H546" s="78"/>
      <c r="J546" s="67"/>
    </row>
    <row r="547" ht="14.25" customHeight="1">
      <c r="C547" s="67"/>
      <c r="H547" s="78"/>
      <c r="J547" s="67"/>
    </row>
    <row r="548" ht="14.25" customHeight="1">
      <c r="C548" s="67"/>
      <c r="H548" s="78"/>
      <c r="J548" s="67"/>
    </row>
    <row r="549" ht="14.25" customHeight="1">
      <c r="C549" s="67"/>
      <c r="H549" s="78"/>
      <c r="J549" s="67"/>
    </row>
    <row r="550" ht="14.25" customHeight="1">
      <c r="C550" s="67"/>
      <c r="H550" s="78"/>
      <c r="J550" s="67"/>
    </row>
    <row r="551" ht="14.25" customHeight="1">
      <c r="C551" s="67"/>
      <c r="H551" s="78"/>
      <c r="J551" s="67"/>
    </row>
    <row r="552" ht="14.25" customHeight="1">
      <c r="C552" s="67"/>
      <c r="H552" s="78"/>
      <c r="J552" s="67"/>
    </row>
    <row r="553" ht="14.25" customHeight="1">
      <c r="C553" s="67"/>
      <c r="H553" s="78"/>
      <c r="J553" s="67"/>
    </row>
    <row r="554" ht="14.25" customHeight="1">
      <c r="C554" s="67"/>
      <c r="H554" s="78"/>
      <c r="J554" s="67"/>
    </row>
    <row r="555" ht="14.25" customHeight="1">
      <c r="C555" s="67"/>
      <c r="H555" s="78"/>
      <c r="J555" s="67"/>
    </row>
    <row r="556" ht="14.25" customHeight="1">
      <c r="C556" s="67"/>
      <c r="H556" s="78"/>
      <c r="J556" s="67"/>
    </row>
    <row r="557" ht="14.25" customHeight="1">
      <c r="C557" s="67"/>
      <c r="H557" s="78"/>
      <c r="J557" s="67"/>
    </row>
    <row r="558" ht="14.25" customHeight="1">
      <c r="C558" s="67"/>
      <c r="H558" s="78"/>
      <c r="J558" s="67"/>
    </row>
    <row r="559" ht="14.25" customHeight="1">
      <c r="C559" s="67"/>
      <c r="H559" s="78"/>
      <c r="J559" s="67"/>
    </row>
    <row r="560" ht="14.25" customHeight="1">
      <c r="C560" s="67"/>
      <c r="H560" s="78"/>
      <c r="J560" s="67"/>
    </row>
    <row r="561" ht="14.25" customHeight="1">
      <c r="C561" s="67"/>
      <c r="H561" s="78"/>
      <c r="J561" s="67"/>
    </row>
    <row r="562" ht="14.25" customHeight="1">
      <c r="C562" s="67"/>
      <c r="H562" s="78"/>
      <c r="J562" s="67"/>
    </row>
    <row r="563" ht="14.25" customHeight="1">
      <c r="C563" s="67"/>
      <c r="H563" s="78"/>
      <c r="J563" s="67"/>
    </row>
    <row r="564" ht="14.25" customHeight="1">
      <c r="C564" s="67"/>
      <c r="H564" s="78"/>
      <c r="J564" s="67"/>
    </row>
    <row r="565" ht="14.25" customHeight="1">
      <c r="C565" s="67"/>
      <c r="H565" s="78"/>
      <c r="J565" s="67"/>
    </row>
    <row r="566" ht="14.25" customHeight="1">
      <c r="C566" s="67"/>
      <c r="H566" s="78"/>
      <c r="J566" s="67"/>
    </row>
    <row r="567" ht="14.25" customHeight="1">
      <c r="C567" s="67"/>
      <c r="H567" s="78"/>
      <c r="J567" s="67"/>
    </row>
    <row r="568" ht="14.25" customHeight="1">
      <c r="C568" s="67"/>
      <c r="H568" s="78"/>
      <c r="J568" s="67"/>
    </row>
    <row r="569" ht="14.25" customHeight="1">
      <c r="C569" s="67"/>
      <c r="H569" s="78"/>
      <c r="J569" s="67"/>
    </row>
    <row r="570" ht="14.25" customHeight="1">
      <c r="C570" s="67"/>
      <c r="H570" s="78"/>
      <c r="J570" s="67"/>
    </row>
    <row r="571" ht="14.25" customHeight="1">
      <c r="C571" s="67"/>
      <c r="H571" s="78"/>
      <c r="J571" s="67"/>
    </row>
    <row r="572" ht="14.25" customHeight="1">
      <c r="C572" s="67"/>
      <c r="H572" s="78"/>
      <c r="J572" s="67"/>
    </row>
    <row r="573" ht="14.25" customHeight="1">
      <c r="C573" s="67"/>
      <c r="H573" s="78"/>
      <c r="J573" s="67"/>
    </row>
    <row r="574" ht="14.25" customHeight="1">
      <c r="C574" s="67"/>
      <c r="H574" s="78"/>
      <c r="J574" s="67"/>
    </row>
    <row r="575" ht="14.25" customHeight="1">
      <c r="C575" s="67"/>
      <c r="H575" s="78"/>
      <c r="J575" s="67"/>
    </row>
    <row r="576" ht="14.25" customHeight="1">
      <c r="C576" s="67"/>
      <c r="H576" s="78"/>
      <c r="J576" s="67"/>
    </row>
    <row r="577" ht="14.25" customHeight="1">
      <c r="C577" s="67"/>
      <c r="H577" s="78"/>
      <c r="J577" s="67"/>
    </row>
    <row r="578" ht="14.25" customHeight="1">
      <c r="C578" s="67"/>
      <c r="H578" s="78"/>
      <c r="J578" s="67"/>
    </row>
    <row r="579" ht="14.25" customHeight="1">
      <c r="C579" s="67"/>
      <c r="H579" s="78"/>
      <c r="J579" s="67"/>
    </row>
    <row r="580" ht="14.25" customHeight="1">
      <c r="C580" s="67"/>
      <c r="H580" s="78"/>
      <c r="J580" s="67"/>
    </row>
    <row r="581" ht="14.25" customHeight="1">
      <c r="C581" s="67"/>
      <c r="H581" s="78"/>
      <c r="J581" s="67"/>
    </row>
    <row r="582" ht="14.25" customHeight="1">
      <c r="C582" s="67"/>
      <c r="H582" s="78"/>
      <c r="J582" s="67"/>
    </row>
    <row r="583" ht="14.25" customHeight="1">
      <c r="C583" s="67"/>
      <c r="H583" s="78"/>
      <c r="J583" s="67"/>
    </row>
    <row r="584" ht="14.25" customHeight="1">
      <c r="C584" s="67"/>
      <c r="H584" s="78"/>
      <c r="J584" s="67"/>
    </row>
    <row r="585" ht="14.25" customHeight="1">
      <c r="C585" s="67"/>
      <c r="H585" s="78"/>
      <c r="J585" s="67"/>
    </row>
    <row r="586" ht="14.25" customHeight="1">
      <c r="C586" s="67"/>
      <c r="H586" s="78"/>
      <c r="J586" s="67"/>
    </row>
    <row r="587" ht="14.25" customHeight="1">
      <c r="C587" s="67"/>
      <c r="H587" s="78"/>
      <c r="J587" s="67"/>
    </row>
    <row r="588" ht="14.25" customHeight="1">
      <c r="C588" s="67"/>
      <c r="H588" s="78"/>
      <c r="J588" s="67"/>
    </row>
    <row r="589" ht="14.25" customHeight="1">
      <c r="C589" s="67"/>
      <c r="H589" s="78"/>
      <c r="J589" s="67"/>
    </row>
    <row r="590" ht="14.25" customHeight="1">
      <c r="C590" s="67"/>
      <c r="H590" s="78"/>
      <c r="J590" s="67"/>
    </row>
    <row r="591" ht="14.25" customHeight="1">
      <c r="C591" s="67"/>
      <c r="H591" s="78"/>
      <c r="J591" s="67"/>
    </row>
    <row r="592" ht="14.25" customHeight="1">
      <c r="C592" s="67"/>
      <c r="H592" s="78"/>
      <c r="J592" s="67"/>
    </row>
    <row r="593" ht="14.25" customHeight="1">
      <c r="C593" s="67"/>
      <c r="H593" s="78"/>
      <c r="J593" s="67"/>
    </row>
    <row r="594" ht="14.25" customHeight="1">
      <c r="C594" s="67"/>
      <c r="H594" s="78"/>
      <c r="J594" s="67"/>
    </row>
    <row r="595" ht="14.25" customHeight="1">
      <c r="C595" s="67"/>
      <c r="H595" s="78"/>
      <c r="J595" s="67"/>
    </row>
    <row r="596" ht="14.25" customHeight="1">
      <c r="C596" s="67"/>
      <c r="H596" s="78"/>
      <c r="J596" s="67"/>
    </row>
    <row r="597" ht="14.25" customHeight="1">
      <c r="C597" s="67"/>
      <c r="H597" s="78"/>
      <c r="J597" s="67"/>
    </row>
    <row r="598" ht="14.25" customHeight="1">
      <c r="C598" s="67"/>
      <c r="H598" s="78"/>
      <c r="J598" s="67"/>
    </row>
    <row r="599" ht="14.25" customHeight="1">
      <c r="C599" s="67"/>
      <c r="H599" s="78"/>
      <c r="J599" s="67"/>
    </row>
    <row r="600" ht="14.25" customHeight="1">
      <c r="C600" s="67"/>
      <c r="H600" s="78"/>
      <c r="J600" s="67"/>
    </row>
    <row r="601" ht="14.25" customHeight="1">
      <c r="C601" s="67"/>
      <c r="H601" s="78"/>
      <c r="J601" s="67"/>
    </row>
    <row r="602" ht="14.25" customHeight="1">
      <c r="C602" s="67"/>
      <c r="H602" s="78"/>
      <c r="J602" s="67"/>
    </row>
    <row r="603" ht="14.25" customHeight="1">
      <c r="C603" s="67"/>
      <c r="H603" s="78"/>
      <c r="J603" s="67"/>
    </row>
    <row r="604" ht="14.25" customHeight="1">
      <c r="C604" s="67"/>
      <c r="H604" s="78"/>
      <c r="J604" s="67"/>
    </row>
    <row r="605" ht="14.25" customHeight="1">
      <c r="C605" s="67"/>
      <c r="H605" s="78"/>
      <c r="J605" s="67"/>
    </row>
    <row r="606" ht="14.25" customHeight="1">
      <c r="C606" s="67"/>
      <c r="H606" s="78"/>
      <c r="J606" s="67"/>
    </row>
    <row r="607" ht="14.25" customHeight="1">
      <c r="C607" s="67"/>
      <c r="H607" s="78"/>
      <c r="J607" s="67"/>
    </row>
    <row r="608" ht="14.25" customHeight="1">
      <c r="C608" s="67"/>
      <c r="H608" s="78"/>
      <c r="J608" s="67"/>
    </row>
    <row r="609" ht="14.25" customHeight="1">
      <c r="C609" s="67"/>
      <c r="H609" s="78"/>
      <c r="J609" s="67"/>
    </row>
    <row r="610" ht="14.25" customHeight="1">
      <c r="C610" s="67"/>
      <c r="H610" s="78"/>
      <c r="J610" s="67"/>
    </row>
    <row r="611" ht="14.25" customHeight="1">
      <c r="C611" s="67"/>
      <c r="H611" s="78"/>
      <c r="J611" s="67"/>
    </row>
    <row r="612" ht="14.25" customHeight="1">
      <c r="C612" s="67"/>
      <c r="H612" s="78"/>
      <c r="J612" s="67"/>
    </row>
    <row r="613" ht="14.25" customHeight="1">
      <c r="C613" s="67"/>
      <c r="H613" s="78"/>
      <c r="J613" s="67"/>
    </row>
    <row r="614" ht="14.25" customHeight="1">
      <c r="C614" s="67"/>
      <c r="H614" s="78"/>
      <c r="J614" s="67"/>
    </row>
    <row r="615" ht="14.25" customHeight="1">
      <c r="C615" s="67"/>
      <c r="H615" s="78"/>
      <c r="J615" s="67"/>
    </row>
    <row r="616" ht="14.25" customHeight="1">
      <c r="C616" s="67"/>
      <c r="H616" s="78"/>
      <c r="J616" s="67"/>
    </row>
    <row r="617" ht="14.25" customHeight="1">
      <c r="C617" s="67"/>
      <c r="H617" s="78"/>
      <c r="J617" s="67"/>
    </row>
    <row r="618" ht="14.25" customHeight="1">
      <c r="C618" s="67"/>
      <c r="H618" s="78"/>
      <c r="J618" s="67"/>
    </row>
    <row r="619" ht="14.25" customHeight="1">
      <c r="C619" s="67"/>
      <c r="H619" s="78"/>
      <c r="J619" s="67"/>
    </row>
    <row r="620" ht="14.25" customHeight="1">
      <c r="C620" s="67"/>
      <c r="H620" s="78"/>
      <c r="J620" s="67"/>
    </row>
    <row r="621" ht="14.25" customHeight="1">
      <c r="C621" s="67"/>
      <c r="H621" s="78"/>
      <c r="J621" s="67"/>
    </row>
    <row r="622" ht="14.25" customHeight="1">
      <c r="C622" s="67"/>
      <c r="H622" s="78"/>
      <c r="J622" s="67"/>
    </row>
    <row r="623" ht="14.25" customHeight="1">
      <c r="C623" s="67"/>
      <c r="H623" s="78"/>
      <c r="J623" s="67"/>
    </row>
    <row r="624" ht="14.25" customHeight="1">
      <c r="C624" s="67"/>
      <c r="H624" s="78"/>
      <c r="J624" s="67"/>
    </row>
    <row r="625" ht="14.25" customHeight="1">
      <c r="C625" s="67"/>
      <c r="H625" s="78"/>
      <c r="J625" s="67"/>
    </row>
    <row r="626" ht="14.25" customHeight="1">
      <c r="C626" s="67"/>
      <c r="H626" s="78"/>
      <c r="J626" s="67"/>
    </row>
    <row r="627" ht="14.25" customHeight="1">
      <c r="C627" s="67"/>
      <c r="H627" s="78"/>
      <c r="J627" s="67"/>
    </row>
    <row r="628" ht="14.25" customHeight="1">
      <c r="C628" s="67"/>
      <c r="H628" s="78"/>
      <c r="J628" s="67"/>
    </row>
    <row r="629" ht="14.25" customHeight="1">
      <c r="C629" s="67"/>
      <c r="H629" s="78"/>
      <c r="J629" s="67"/>
    </row>
    <row r="630" ht="14.25" customHeight="1">
      <c r="C630" s="67"/>
      <c r="H630" s="78"/>
      <c r="J630" s="67"/>
    </row>
    <row r="631" ht="14.25" customHeight="1">
      <c r="C631" s="67"/>
      <c r="H631" s="78"/>
      <c r="J631" s="67"/>
    </row>
    <row r="632" ht="14.25" customHeight="1">
      <c r="C632" s="67"/>
      <c r="H632" s="78"/>
      <c r="J632" s="67"/>
    </row>
    <row r="633" ht="14.25" customHeight="1">
      <c r="C633" s="67"/>
      <c r="H633" s="78"/>
      <c r="J633" s="67"/>
    </row>
    <row r="634" ht="14.25" customHeight="1">
      <c r="C634" s="67"/>
      <c r="H634" s="78"/>
      <c r="J634" s="67"/>
    </row>
    <row r="635" ht="14.25" customHeight="1">
      <c r="C635" s="67"/>
      <c r="H635" s="78"/>
      <c r="J635" s="67"/>
    </row>
    <row r="636" ht="14.25" customHeight="1">
      <c r="C636" s="67"/>
      <c r="H636" s="78"/>
      <c r="J636" s="67"/>
    </row>
    <row r="637" ht="14.25" customHeight="1">
      <c r="C637" s="67"/>
      <c r="H637" s="78"/>
      <c r="J637" s="67"/>
    </row>
    <row r="638" ht="14.25" customHeight="1">
      <c r="C638" s="67"/>
      <c r="H638" s="78"/>
      <c r="J638" s="67"/>
    </row>
    <row r="639" ht="14.25" customHeight="1">
      <c r="C639" s="67"/>
      <c r="H639" s="78"/>
      <c r="J639" s="67"/>
    </row>
    <row r="640" ht="14.25" customHeight="1">
      <c r="C640" s="67"/>
      <c r="H640" s="78"/>
      <c r="J640" s="67"/>
    </row>
    <row r="641" ht="14.25" customHeight="1">
      <c r="C641" s="67"/>
      <c r="H641" s="78"/>
      <c r="J641" s="67"/>
    </row>
    <row r="642" ht="14.25" customHeight="1">
      <c r="C642" s="67"/>
      <c r="H642" s="78"/>
      <c r="J642" s="67"/>
    </row>
    <row r="643" ht="14.25" customHeight="1">
      <c r="C643" s="67"/>
      <c r="H643" s="78"/>
      <c r="J643" s="67"/>
    </row>
    <row r="644" ht="14.25" customHeight="1">
      <c r="C644" s="67"/>
      <c r="H644" s="78"/>
      <c r="J644" s="67"/>
    </row>
    <row r="645" ht="14.25" customHeight="1">
      <c r="C645" s="67"/>
      <c r="H645" s="78"/>
      <c r="J645" s="67"/>
    </row>
    <row r="646" ht="14.25" customHeight="1">
      <c r="C646" s="67"/>
      <c r="H646" s="78"/>
      <c r="J646" s="67"/>
    </row>
    <row r="647" ht="14.25" customHeight="1">
      <c r="C647" s="67"/>
      <c r="H647" s="78"/>
      <c r="J647" s="67"/>
    </row>
    <row r="648" ht="14.25" customHeight="1">
      <c r="C648" s="67"/>
      <c r="H648" s="78"/>
      <c r="J648" s="67"/>
    </row>
    <row r="649" ht="14.25" customHeight="1">
      <c r="C649" s="67"/>
      <c r="H649" s="78"/>
      <c r="J649" s="67"/>
    </row>
    <row r="650" ht="14.25" customHeight="1">
      <c r="C650" s="67"/>
      <c r="H650" s="78"/>
      <c r="J650" s="67"/>
    </row>
    <row r="651" ht="14.25" customHeight="1">
      <c r="C651" s="67"/>
      <c r="H651" s="78"/>
      <c r="J651" s="67"/>
    </row>
    <row r="652" ht="14.25" customHeight="1">
      <c r="C652" s="67"/>
      <c r="H652" s="78"/>
      <c r="J652" s="67"/>
    </row>
    <row r="653" ht="14.25" customHeight="1">
      <c r="C653" s="67"/>
      <c r="H653" s="78"/>
      <c r="J653" s="67"/>
    </row>
    <row r="654" ht="14.25" customHeight="1">
      <c r="C654" s="67"/>
      <c r="H654" s="78"/>
      <c r="J654" s="67"/>
    </row>
    <row r="655" ht="14.25" customHeight="1">
      <c r="C655" s="67"/>
      <c r="H655" s="78"/>
      <c r="J655" s="67"/>
    </row>
    <row r="656" ht="14.25" customHeight="1">
      <c r="C656" s="67"/>
      <c r="H656" s="78"/>
      <c r="J656" s="67"/>
    </row>
    <row r="657" ht="14.25" customHeight="1">
      <c r="C657" s="67"/>
      <c r="H657" s="78"/>
      <c r="J657" s="67"/>
    </row>
    <row r="658" ht="14.25" customHeight="1">
      <c r="C658" s="67"/>
      <c r="H658" s="78"/>
      <c r="J658" s="67"/>
    </row>
    <row r="659" ht="14.25" customHeight="1">
      <c r="C659" s="67"/>
      <c r="H659" s="78"/>
      <c r="J659" s="67"/>
    </row>
    <row r="660" ht="14.25" customHeight="1">
      <c r="C660" s="67"/>
      <c r="H660" s="78"/>
      <c r="J660" s="67"/>
    </row>
    <row r="661" ht="14.25" customHeight="1">
      <c r="C661" s="67"/>
      <c r="H661" s="78"/>
      <c r="J661" s="67"/>
    </row>
    <row r="662" ht="14.25" customHeight="1">
      <c r="C662" s="67"/>
      <c r="H662" s="78"/>
      <c r="J662" s="67"/>
    </row>
    <row r="663" ht="14.25" customHeight="1">
      <c r="C663" s="67"/>
      <c r="H663" s="78"/>
      <c r="J663" s="67"/>
    </row>
    <row r="664" ht="14.25" customHeight="1">
      <c r="C664" s="67"/>
      <c r="H664" s="78"/>
      <c r="J664" s="67"/>
    </row>
    <row r="665" ht="14.25" customHeight="1">
      <c r="C665" s="67"/>
      <c r="H665" s="78"/>
      <c r="J665" s="67"/>
    </row>
    <row r="666" ht="14.25" customHeight="1">
      <c r="C666" s="67"/>
      <c r="H666" s="78"/>
      <c r="J666" s="67"/>
    </row>
    <row r="667" ht="14.25" customHeight="1">
      <c r="C667" s="67"/>
      <c r="H667" s="78"/>
      <c r="J667" s="67"/>
    </row>
    <row r="668" ht="14.25" customHeight="1">
      <c r="C668" s="67"/>
      <c r="H668" s="78"/>
      <c r="J668" s="67"/>
    </row>
    <row r="669" ht="14.25" customHeight="1">
      <c r="C669" s="67"/>
      <c r="H669" s="78"/>
      <c r="J669" s="67"/>
    </row>
    <row r="670" ht="14.25" customHeight="1">
      <c r="C670" s="67"/>
      <c r="H670" s="78"/>
      <c r="J670" s="67"/>
    </row>
    <row r="671" ht="14.25" customHeight="1">
      <c r="C671" s="67"/>
      <c r="H671" s="78"/>
      <c r="J671" s="67"/>
    </row>
    <row r="672" ht="14.25" customHeight="1">
      <c r="C672" s="67"/>
      <c r="H672" s="78"/>
      <c r="J672" s="67"/>
    </row>
    <row r="673" ht="14.25" customHeight="1">
      <c r="C673" s="67"/>
      <c r="H673" s="78"/>
      <c r="J673" s="67"/>
    </row>
    <row r="674" ht="14.25" customHeight="1">
      <c r="C674" s="67"/>
      <c r="H674" s="78"/>
      <c r="J674" s="67"/>
    </row>
    <row r="675" ht="14.25" customHeight="1">
      <c r="C675" s="67"/>
      <c r="H675" s="78"/>
      <c r="J675" s="67"/>
    </row>
    <row r="676" ht="14.25" customHeight="1">
      <c r="C676" s="67"/>
      <c r="H676" s="78"/>
      <c r="J676" s="67"/>
    </row>
    <row r="677" ht="14.25" customHeight="1">
      <c r="C677" s="67"/>
      <c r="H677" s="78"/>
      <c r="J677" s="67"/>
    </row>
    <row r="678" ht="14.25" customHeight="1">
      <c r="C678" s="67"/>
      <c r="H678" s="78"/>
      <c r="J678" s="67"/>
    </row>
    <row r="679" ht="14.25" customHeight="1">
      <c r="C679" s="67"/>
      <c r="H679" s="78"/>
      <c r="J679" s="67"/>
    </row>
    <row r="680" ht="14.25" customHeight="1">
      <c r="C680" s="67"/>
      <c r="H680" s="78"/>
      <c r="J680" s="67"/>
    </row>
    <row r="681" ht="14.25" customHeight="1">
      <c r="C681" s="67"/>
      <c r="H681" s="78"/>
      <c r="J681" s="67"/>
    </row>
    <row r="682" ht="14.25" customHeight="1">
      <c r="C682" s="67"/>
      <c r="H682" s="78"/>
      <c r="J682" s="67"/>
    </row>
    <row r="683" ht="14.25" customHeight="1">
      <c r="C683" s="67"/>
      <c r="H683" s="78"/>
      <c r="J683" s="67"/>
    </row>
    <row r="684" ht="14.25" customHeight="1">
      <c r="C684" s="67"/>
      <c r="H684" s="78"/>
      <c r="J684" s="67"/>
    </row>
    <row r="685" ht="14.25" customHeight="1">
      <c r="C685" s="67"/>
      <c r="H685" s="78"/>
      <c r="J685" s="67"/>
    </row>
    <row r="686" ht="14.25" customHeight="1">
      <c r="C686" s="67"/>
      <c r="H686" s="78"/>
      <c r="J686" s="67"/>
    </row>
    <row r="687" ht="14.25" customHeight="1">
      <c r="C687" s="67"/>
      <c r="H687" s="78"/>
      <c r="J687" s="67"/>
    </row>
    <row r="688" ht="14.25" customHeight="1">
      <c r="C688" s="67"/>
      <c r="H688" s="78"/>
      <c r="J688" s="67"/>
    </row>
    <row r="689" ht="14.25" customHeight="1">
      <c r="C689" s="67"/>
      <c r="H689" s="78"/>
      <c r="J689" s="67"/>
    </row>
    <row r="690" ht="14.25" customHeight="1">
      <c r="C690" s="67"/>
      <c r="H690" s="78"/>
      <c r="J690" s="67"/>
    </row>
    <row r="691" ht="14.25" customHeight="1">
      <c r="C691" s="67"/>
      <c r="H691" s="78"/>
      <c r="J691" s="67"/>
    </row>
    <row r="692" ht="14.25" customHeight="1">
      <c r="C692" s="67"/>
      <c r="H692" s="78"/>
      <c r="J692" s="67"/>
    </row>
    <row r="693" ht="14.25" customHeight="1">
      <c r="C693" s="67"/>
      <c r="H693" s="78"/>
      <c r="J693" s="67"/>
    </row>
    <row r="694" ht="14.25" customHeight="1">
      <c r="C694" s="67"/>
      <c r="H694" s="78"/>
      <c r="J694" s="67"/>
    </row>
    <row r="695" ht="14.25" customHeight="1">
      <c r="C695" s="67"/>
      <c r="H695" s="78"/>
      <c r="J695" s="67"/>
    </row>
    <row r="696" ht="14.25" customHeight="1">
      <c r="C696" s="67"/>
      <c r="H696" s="78"/>
      <c r="J696" s="67"/>
    </row>
    <row r="697" ht="14.25" customHeight="1">
      <c r="C697" s="67"/>
      <c r="H697" s="78"/>
      <c r="J697" s="67"/>
    </row>
    <row r="698" ht="14.25" customHeight="1">
      <c r="C698" s="67"/>
      <c r="H698" s="78"/>
      <c r="J698" s="67"/>
    </row>
    <row r="699" ht="14.25" customHeight="1">
      <c r="C699" s="67"/>
      <c r="H699" s="78"/>
      <c r="J699" s="67"/>
    </row>
    <row r="700" ht="14.25" customHeight="1">
      <c r="C700" s="67"/>
      <c r="H700" s="78"/>
      <c r="J700" s="67"/>
    </row>
    <row r="701" ht="14.25" customHeight="1">
      <c r="C701" s="67"/>
      <c r="H701" s="78"/>
      <c r="J701" s="67"/>
    </row>
    <row r="702" ht="14.25" customHeight="1">
      <c r="C702" s="67"/>
      <c r="H702" s="78"/>
      <c r="J702" s="67"/>
    </row>
    <row r="703" ht="14.25" customHeight="1">
      <c r="C703" s="67"/>
      <c r="H703" s="78"/>
      <c r="J703" s="67"/>
    </row>
    <row r="704" ht="14.25" customHeight="1">
      <c r="C704" s="67"/>
      <c r="H704" s="78"/>
      <c r="J704" s="67"/>
    </row>
    <row r="705" ht="14.25" customHeight="1">
      <c r="C705" s="67"/>
      <c r="H705" s="78"/>
      <c r="J705" s="67"/>
    </row>
    <row r="706" ht="14.25" customHeight="1">
      <c r="C706" s="67"/>
      <c r="H706" s="78"/>
      <c r="J706" s="67"/>
    </row>
    <row r="707" ht="14.25" customHeight="1">
      <c r="C707" s="67"/>
      <c r="H707" s="78"/>
      <c r="J707" s="67"/>
    </row>
    <row r="708" ht="14.25" customHeight="1">
      <c r="C708" s="67"/>
      <c r="H708" s="78"/>
      <c r="J708" s="67"/>
    </row>
    <row r="709" ht="14.25" customHeight="1">
      <c r="C709" s="67"/>
      <c r="H709" s="78"/>
      <c r="J709" s="67"/>
    </row>
    <row r="710" ht="14.25" customHeight="1">
      <c r="C710" s="67"/>
      <c r="H710" s="78"/>
      <c r="J710" s="67"/>
    </row>
    <row r="711" ht="14.25" customHeight="1">
      <c r="C711" s="67"/>
      <c r="H711" s="78"/>
      <c r="J711" s="67"/>
    </row>
    <row r="712" ht="14.25" customHeight="1">
      <c r="C712" s="67"/>
      <c r="H712" s="78"/>
      <c r="J712" s="67"/>
    </row>
    <row r="713" ht="14.25" customHeight="1">
      <c r="C713" s="67"/>
      <c r="H713" s="78"/>
      <c r="J713" s="67"/>
    </row>
    <row r="714" ht="14.25" customHeight="1">
      <c r="C714" s="67"/>
      <c r="H714" s="78"/>
      <c r="J714" s="67"/>
    </row>
    <row r="715" ht="14.25" customHeight="1">
      <c r="C715" s="67"/>
      <c r="H715" s="78"/>
      <c r="J715" s="67"/>
    </row>
    <row r="716" ht="14.25" customHeight="1">
      <c r="C716" s="67"/>
      <c r="H716" s="78"/>
      <c r="J716" s="67"/>
    </row>
    <row r="717" ht="14.25" customHeight="1">
      <c r="C717" s="67"/>
      <c r="H717" s="78"/>
      <c r="J717" s="67"/>
    </row>
    <row r="718" ht="14.25" customHeight="1">
      <c r="C718" s="67"/>
      <c r="H718" s="78"/>
      <c r="J718" s="67"/>
    </row>
    <row r="719" ht="14.25" customHeight="1">
      <c r="C719" s="67"/>
      <c r="H719" s="78"/>
      <c r="J719" s="67"/>
    </row>
    <row r="720" ht="14.25" customHeight="1">
      <c r="C720" s="67"/>
      <c r="H720" s="78"/>
      <c r="J720" s="67"/>
    </row>
    <row r="721" ht="14.25" customHeight="1">
      <c r="C721" s="67"/>
      <c r="H721" s="78"/>
      <c r="J721" s="67"/>
    </row>
    <row r="722" ht="14.25" customHeight="1">
      <c r="C722" s="67"/>
      <c r="H722" s="78"/>
      <c r="J722" s="67"/>
    </row>
    <row r="723" ht="14.25" customHeight="1">
      <c r="C723" s="67"/>
      <c r="H723" s="78"/>
      <c r="J723" s="67"/>
    </row>
    <row r="724" ht="14.25" customHeight="1">
      <c r="C724" s="67"/>
      <c r="H724" s="78"/>
      <c r="J724" s="67"/>
    </row>
    <row r="725" ht="14.25" customHeight="1">
      <c r="C725" s="67"/>
      <c r="H725" s="78"/>
      <c r="J725" s="67"/>
    </row>
    <row r="726" ht="14.25" customHeight="1">
      <c r="C726" s="67"/>
      <c r="H726" s="78"/>
      <c r="J726" s="67"/>
    </row>
    <row r="727" ht="14.25" customHeight="1">
      <c r="C727" s="67"/>
      <c r="H727" s="78"/>
      <c r="J727" s="67"/>
    </row>
    <row r="728" ht="14.25" customHeight="1">
      <c r="C728" s="67"/>
      <c r="H728" s="78"/>
      <c r="J728" s="67"/>
    </row>
    <row r="729" ht="14.25" customHeight="1">
      <c r="C729" s="67"/>
      <c r="H729" s="78"/>
      <c r="J729" s="67"/>
    </row>
    <row r="730" ht="14.25" customHeight="1">
      <c r="C730" s="67"/>
      <c r="H730" s="78"/>
      <c r="J730" s="67"/>
    </row>
    <row r="731" ht="14.25" customHeight="1">
      <c r="C731" s="67"/>
      <c r="H731" s="78"/>
      <c r="J731" s="67"/>
    </row>
    <row r="732" ht="14.25" customHeight="1">
      <c r="C732" s="67"/>
      <c r="H732" s="78"/>
      <c r="J732" s="67"/>
    </row>
    <row r="733" ht="14.25" customHeight="1">
      <c r="C733" s="67"/>
      <c r="H733" s="78"/>
      <c r="J733" s="67"/>
    </row>
    <row r="734" ht="14.25" customHeight="1">
      <c r="C734" s="67"/>
      <c r="H734" s="78"/>
      <c r="J734" s="67"/>
    </row>
    <row r="735" ht="14.25" customHeight="1">
      <c r="C735" s="67"/>
      <c r="H735" s="78"/>
      <c r="J735" s="67"/>
    </row>
    <row r="736" ht="14.25" customHeight="1">
      <c r="C736" s="67"/>
      <c r="H736" s="78"/>
      <c r="J736" s="67"/>
    </row>
    <row r="737" ht="14.25" customHeight="1">
      <c r="C737" s="67"/>
      <c r="H737" s="78"/>
      <c r="J737" s="67"/>
    </row>
    <row r="738" ht="14.25" customHeight="1">
      <c r="C738" s="67"/>
      <c r="H738" s="78"/>
      <c r="J738" s="67"/>
    </row>
    <row r="739" ht="14.25" customHeight="1">
      <c r="C739" s="67"/>
      <c r="H739" s="78"/>
      <c r="J739" s="67"/>
    </row>
    <row r="740" ht="14.25" customHeight="1">
      <c r="C740" s="67"/>
      <c r="H740" s="78"/>
      <c r="J740" s="67"/>
    </row>
    <row r="741" ht="14.25" customHeight="1">
      <c r="C741" s="67"/>
      <c r="H741" s="78"/>
      <c r="J741" s="67"/>
    </row>
    <row r="742" ht="14.25" customHeight="1">
      <c r="C742" s="67"/>
      <c r="H742" s="78"/>
      <c r="J742" s="67"/>
    </row>
    <row r="743" ht="14.25" customHeight="1">
      <c r="C743" s="67"/>
      <c r="H743" s="78"/>
      <c r="J743" s="67"/>
    </row>
    <row r="744" ht="14.25" customHeight="1">
      <c r="C744" s="67"/>
      <c r="H744" s="78"/>
      <c r="J744" s="67"/>
    </row>
    <row r="745" ht="14.25" customHeight="1">
      <c r="C745" s="67"/>
      <c r="H745" s="78"/>
      <c r="J745" s="67"/>
    </row>
    <row r="746" ht="14.25" customHeight="1">
      <c r="C746" s="67"/>
      <c r="H746" s="78"/>
      <c r="J746" s="67"/>
    </row>
    <row r="747" ht="14.25" customHeight="1">
      <c r="C747" s="67"/>
      <c r="H747" s="78"/>
      <c r="J747" s="67"/>
    </row>
    <row r="748" ht="14.25" customHeight="1">
      <c r="C748" s="67"/>
      <c r="H748" s="78"/>
      <c r="J748" s="67"/>
    </row>
    <row r="749" ht="14.25" customHeight="1">
      <c r="C749" s="67"/>
      <c r="H749" s="78"/>
      <c r="J749" s="67"/>
    </row>
    <row r="750" ht="14.25" customHeight="1">
      <c r="C750" s="67"/>
      <c r="H750" s="78"/>
      <c r="J750" s="67"/>
    </row>
    <row r="751" ht="14.25" customHeight="1">
      <c r="C751" s="67"/>
      <c r="H751" s="78"/>
      <c r="J751" s="67"/>
    </row>
    <row r="752" ht="14.25" customHeight="1">
      <c r="C752" s="67"/>
      <c r="H752" s="78"/>
      <c r="J752" s="67"/>
    </row>
    <row r="753" ht="14.25" customHeight="1">
      <c r="C753" s="67"/>
      <c r="H753" s="78"/>
      <c r="J753" s="67"/>
    </row>
    <row r="754" ht="14.25" customHeight="1">
      <c r="C754" s="67"/>
      <c r="H754" s="78"/>
      <c r="J754" s="67"/>
    </row>
    <row r="755" ht="14.25" customHeight="1">
      <c r="C755" s="67"/>
      <c r="H755" s="78"/>
      <c r="J755" s="67"/>
    </row>
    <row r="756" ht="14.25" customHeight="1">
      <c r="C756" s="67"/>
      <c r="H756" s="78"/>
      <c r="J756" s="67"/>
    </row>
    <row r="757" ht="14.25" customHeight="1">
      <c r="C757" s="67"/>
      <c r="H757" s="78"/>
      <c r="J757" s="67"/>
    </row>
    <row r="758" ht="14.25" customHeight="1">
      <c r="C758" s="67"/>
      <c r="H758" s="78"/>
      <c r="J758" s="67"/>
    </row>
    <row r="759" ht="14.25" customHeight="1">
      <c r="C759" s="67"/>
      <c r="H759" s="78"/>
      <c r="J759" s="67"/>
    </row>
    <row r="760" ht="14.25" customHeight="1">
      <c r="C760" s="67"/>
      <c r="H760" s="78"/>
      <c r="J760" s="67"/>
    </row>
    <row r="761" ht="14.25" customHeight="1">
      <c r="C761" s="67"/>
      <c r="H761" s="78"/>
      <c r="J761" s="67"/>
    </row>
    <row r="762" ht="14.25" customHeight="1">
      <c r="C762" s="67"/>
      <c r="H762" s="78"/>
      <c r="J762" s="67"/>
    </row>
    <row r="763" ht="14.25" customHeight="1">
      <c r="C763" s="67"/>
      <c r="H763" s="78"/>
      <c r="J763" s="67"/>
    </row>
    <row r="764" ht="14.25" customHeight="1">
      <c r="C764" s="67"/>
      <c r="H764" s="78"/>
      <c r="J764" s="67"/>
    </row>
    <row r="765" ht="14.25" customHeight="1">
      <c r="C765" s="67"/>
      <c r="H765" s="78"/>
      <c r="J765" s="67"/>
    </row>
    <row r="766" ht="14.25" customHeight="1">
      <c r="C766" s="67"/>
      <c r="H766" s="78"/>
      <c r="J766" s="67"/>
    </row>
    <row r="767" ht="14.25" customHeight="1">
      <c r="C767" s="67"/>
      <c r="H767" s="78"/>
      <c r="J767" s="67"/>
    </row>
    <row r="768" ht="14.25" customHeight="1">
      <c r="C768" s="67"/>
      <c r="H768" s="78"/>
      <c r="J768" s="67"/>
    </row>
    <row r="769" ht="14.25" customHeight="1">
      <c r="C769" s="67"/>
      <c r="H769" s="78"/>
      <c r="J769" s="67"/>
    </row>
    <row r="770" ht="14.25" customHeight="1">
      <c r="C770" s="67"/>
      <c r="H770" s="78"/>
      <c r="J770" s="67"/>
    </row>
    <row r="771" ht="14.25" customHeight="1">
      <c r="C771" s="67"/>
      <c r="H771" s="78"/>
      <c r="J771" s="67"/>
    </row>
    <row r="772" ht="14.25" customHeight="1">
      <c r="C772" s="67"/>
      <c r="H772" s="78"/>
      <c r="J772" s="67"/>
    </row>
    <row r="773" ht="14.25" customHeight="1">
      <c r="C773" s="67"/>
      <c r="H773" s="78"/>
      <c r="J773" s="67"/>
    </row>
    <row r="774" ht="14.25" customHeight="1">
      <c r="C774" s="67"/>
      <c r="H774" s="78"/>
      <c r="J774" s="67"/>
    </row>
    <row r="775" ht="14.25" customHeight="1">
      <c r="C775" s="67"/>
      <c r="H775" s="78"/>
      <c r="J775" s="67"/>
    </row>
    <row r="776" ht="14.25" customHeight="1">
      <c r="C776" s="67"/>
      <c r="H776" s="78"/>
      <c r="J776" s="67"/>
    </row>
    <row r="777" ht="14.25" customHeight="1">
      <c r="C777" s="67"/>
      <c r="H777" s="78"/>
      <c r="J777" s="67"/>
    </row>
    <row r="778" ht="14.25" customHeight="1">
      <c r="C778" s="67"/>
      <c r="H778" s="78"/>
      <c r="J778" s="67"/>
    </row>
    <row r="779" ht="14.25" customHeight="1">
      <c r="C779" s="67"/>
      <c r="H779" s="78"/>
      <c r="J779" s="67"/>
    </row>
    <row r="780" ht="14.25" customHeight="1">
      <c r="C780" s="67"/>
      <c r="H780" s="78"/>
      <c r="J780" s="67"/>
    </row>
    <row r="781" ht="14.25" customHeight="1">
      <c r="C781" s="67"/>
      <c r="H781" s="78"/>
      <c r="J781" s="67"/>
    </row>
    <row r="782" ht="14.25" customHeight="1">
      <c r="C782" s="67"/>
      <c r="H782" s="78"/>
      <c r="J782" s="67"/>
    </row>
    <row r="783" ht="14.25" customHeight="1">
      <c r="C783" s="67"/>
      <c r="H783" s="78"/>
      <c r="J783" s="67"/>
    </row>
    <row r="784" ht="14.25" customHeight="1">
      <c r="C784" s="67"/>
      <c r="H784" s="78"/>
      <c r="J784" s="67"/>
    </row>
    <row r="785" ht="14.25" customHeight="1">
      <c r="C785" s="67"/>
      <c r="H785" s="78"/>
      <c r="J785" s="67"/>
    </row>
    <row r="786" ht="14.25" customHeight="1">
      <c r="C786" s="67"/>
      <c r="H786" s="78"/>
      <c r="J786" s="67"/>
    </row>
    <row r="787" ht="14.25" customHeight="1">
      <c r="C787" s="67"/>
      <c r="H787" s="78"/>
      <c r="J787" s="67"/>
    </row>
    <row r="788" ht="14.25" customHeight="1">
      <c r="C788" s="67"/>
      <c r="H788" s="78"/>
      <c r="J788" s="67"/>
    </row>
    <row r="789" ht="14.25" customHeight="1">
      <c r="C789" s="67"/>
      <c r="H789" s="78"/>
      <c r="J789" s="67"/>
    </row>
    <row r="790" ht="14.25" customHeight="1">
      <c r="C790" s="67"/>
      <c r="H790" s="78"/>
      <c r="J790" s="67"/>
    </row>
    <row r="791" ht="14.25" customHeight="1">
      <c r="C791" s="67"/>
      <c r="H791" s="78"/>
      <c r="J791" s="67"/>
    </row>
    <row r="792" ht="14.25" customHeight="1">
      <c r="C792" s="67"/>
      <c r="H792" s="78"/>
      <c r="J792" s="67"/>
    </row>
    <row r="793" ht="14.25" customHeight="1">
      <c r="C793" s="67"/>
      <c r="H793" s="78"/>
      <c r="J793" s="67"/>
    </row>
    <row r="794" ht="14.25" customHeight="1">
      <c r="C794" s="67"/>
      <c r="H794" s="78"/>
      <c r="J794" s="67"/>
    </row>
    <row r="795" ht="14.25" customHeight="1">
      <c r="C795" s="67"/>
      <c r="H795" s="78"/>
      <c r="J795" s="67"/>
    </row>
    <row r="796" ht="14.25" customHeight="1">
      <c r="C796" s="67"/>
      <c r="H796" s="78"/>
      <c r="J796" s="67"/>
    </row>
    <row r="797" ht="14.25" customHeight="1">
      <c r="C797" s="67"/>
      <c r="H797" s="78"/>
      <c r="J797" s="67"/>
    </row>
    <row r="798" ht="14.25" customHeight="1">
      <c r="C798" s="67"/>
      <c r="H798" s="78"/>
      <c r="J798" s="67"/>
    </row>
    <row r="799" ht="14.25" customHeight="1">
      <c r="C799" s="67"/>
      <c r="H799" s="78"/>
      <c r="J799" s="67"/>
    </row>
    <row r="800" ht="14.25" customHeight="1">
      <c r="C800" s="67"/>
      <c r="H800" s="78"/>
      <c r="J800" s="67"/>
    </row>
    <row r="801" ht="14.25" customHeight="1">
      <c r="C801" s="67"/>
      <c r="H801" s="78"/>
      <c r="J801" s="67"/>
    </row>
    <row r="802" ht="14.25" customHeight="1">
      <c r="C802" s="67"/>
      <c r="H802" s="78"/>
      <c r="J802" s="67"/>
    </row>
    <row r="803" ht="14.25" customHeight="1">
      <c r="C803" s="67"/>
      <c r="H803" s="78"/>
      <c r="J803" s="67"/>
    </row>
    <row r="804" ht="14.25" customHeight="1">
      <c r="C804" s="67"/>
      <c r="H804" s="78"/>
      <c r="J804" s="67"/>
    </row>
    <row r="805" ht="14.25" customHeight="1">
      <c r="C805" s="67"/>
      <c r="H805" s="78"/>
      <c r="J805" s="67"/>
    </row>
    <row r="806" ht="14.25" customHeight="1">
      <c r="C806" s="67"/>
      <c r="H806" s="78"/>
      <c r="J806" s="67"/>
    </row>
    <row r="807" ht="14.25" customHeight="1">
      <c r="C807" s="67"/>
      <c r="H807" s="78"/>
      <c r="J807" s="67"/>
    </row>
    <row r="808" ht="14.25" customHeight="1">
      <c r="C808" s="67"/>
      <c r="H808" s="78"/>
      <c r="J808" s="67"/>
    </row>
    <row r="809" ht="14.25" customHeight="1">
      <c r="C809" s="67"/>
      <c r="H809" s="78"/>
      <c r="J809" s="67"/>
    </row>
    <row r="810" ht="14.25" customHeight="1">
      <c r="C810" s="67"/>
      <c r="H810" s="78"/>
      <c r="J810" s="67"/>
    </row>
    <row r="811" ht="14.25" customHeight="1">
      <c r="C811" s="67"/>
      <c r="H811" s="78"/>
      <c r="J811" s="67"/>
    </row>
    <row r="812" ht="14.25" customHeight="1">
      <c r="C812" s="67"/>
      <c r="H812" s="78"/>
      <c r="J812" s="67"/>
    </row>
    <row r="813" ht="14.25" customHeight="1">
      <c r="C813" s="67"/>
      <c r="H813" s="78"/>
      <c r="J813" s="67"/>
    </row>
    <row r="814" ht="14.25" customHeight="1">
      <c r="C814" s="67"/>
      <c r="H814" s="78"/>
      <c r="J814" s="67"/>
    </row>
    <row r="815" ht="14.25" customHeight="1">
      <c r="C815" s="67"/>
      <c r="H815" s="78"/>
      <c r="J815" s="67"/>
    </row>
    <row r="816" ht="14.25" customHeight="1">
      <c r="C816" s="67"/>
      <c r="H816" s="78"/>
      <c r="J816" s="67"/>
    </row>
    <row r="817" ht="14.25" customHeight="1">
      <c r="C817" s="67"/>
      <c r="H817" s="78"/>
      <c r="J817" s="67"/>
    </row>
    <row r="818" ht="14.25" customHeight="1">
      <c r="C818" s="67"/>
      <c r="H818" s="78"/>
      <c r="J818" s="67"/>
    </row>
    <row r="819" ht="14.25" customHeight="1">
      <c r="C819" s="67"/>
      <c r="H819" s="78"/>
      <c r="J819" s="67"/>
    </row>
    <row r="820" ht="14.25" customHeight="1">
      <c r="C820" s="67"/>
      <c r="H820" s="78"/>
      <c r="J820" s="67"/>
    </row>
    <row r="821" ht="14.25" customHeight="1">
      <c r="C821" s="67"/>
      <c r="H821" s="78"/>
      <c r="J821" s="67"/>
    </row>
    <row r="822" ht="14.25" customHeight="1">
      <c r="C822" s="67"/>
      <c r="H822" s="78"/>
      <c r="J822" s="67"/>
    </row>
    <row r="823" ht="14.25" customHeight="1">
      <c r="C823" s="67"/>
      <c r="H823" s="78"/>
      <c r="J823" s="67"/>
    </row>
    <row r="824" ht="14.25" customHeight="1">
      <c r="C824" s="67"/>
      <c r="H824" s="78"/>
      <c r="J824" s="67"/>
    </row>
    <row r="825" ht="14.25" customHeight="1">
      <c r="C825" s="67"/>
      <c r="H825" s="78"/>
      <c r="J825" s="67"/>
    </row>
    <row r="826" ht="14.25" customHeight="1">
      <c r="C826" s="67"/>
      <c r="H826" s="78"/>
      <c r="J826" s="67"/>
    </row>
    <row r="827" ht="14.25" customHeight="1">
      <c r="C827" s="67"/>
      <c r="H827" s="78"/>
      <c r="J827" s="67"/>
    </row>
    <row r="828" ht="14.25" customHeight="1">
      <c r="C828" s="67"/>
      <c r="H828" s="78"/>
      <c r="J828" s="67"/>
    </row>
    <row r="829" ht="14.25" customHeight="1">
      <c r="C829" s="67"/>
      <c r="H829" s="78"/>
      <c r="J829" s="67"/>
    </row>
    <row r="830" ht="14.25" customHeight="1">
      <c r="C830" s="67"/>
      <c r="H830" s="78"/>
      <c r="J830" s="67"/>
    </row>
    <row r="831" ht="14.25" customHeight="1">
      <c r="C831" s="67"/>
      <c r="H831" s="78"/>
      <c r="J831" s="67"/>
    </row>
    <row r="832" ht="14.25" customHeight="1">
      <c r="C832" s="67"/>
      <c r="H832" s="78"/>
      <c r="J832" s="67"/>
    </row>
    <row r="833" ht="14.25" customHeight="1">
      <c r="C833" s="67"/>
      <c r="H833" s="78"/>
      <c r="J833" s="67"/>
    </row>
    <row r="834" ht="14.25" customHeight="1">
      <c r="C834" s="67"/>
      <c r="H834" s="78"/>
      <c r="J834" s="67"/>
    </row>
    <row r="835" ht="14.25" customHeight="1">
      <c r="C835" s="67"/>
      <c r="H835" s="78"/>
      <c r="J835" s="67"/>
    </row>
    <row r="836" ht="14.25" customHeight="1">
      <c r="C836" s="67"/>
      <c r="H836" s="78"/>
      <c r="J836" s="67"/>
    </row>
    <row r="837" ht="14.25" customHeight="1">
      <c r="C837" s="67"/>
      <c r="H837" s="78"/>
      <c r="J837" s="67"/>
    </row>
    <row r="838" ht="14.25" customHeight="1">
      <c r="C838" s="67"/>
      <c r="H838" s="78"/>
      <c r="J838" s="67"/>
    </row>
    <row r="839" ht="14.25" customHeight="1">
      <c r="C839" s="67"/>
      <c r="H839" s="78"/>
      <c r="J839" s="67"/>
    </row>
    <row r="840" ht="14.25" customHeight="1">
      <c r="C840" s="67"/>
      <c r="H840" s="78"/>
      <c r="J840" s="67"/>
    </row>
    <row r="841" ht="14.25" customHeight="1">
      <c r="C841" s="67"/>
      <c r="H841" s="78"/>
      <c r="J841" s="67"/>
    </row>
    <row r="842" ht="14.25" customHeight="1">
      <c r="C842" s="67"/>
      <c r="H842" s="78"/>
      <c r="J842" s="67"/>
    </row>
    <row r="843" ht="14.25" customHeight="1">
      <c r="C843" s="67"/>
      <c r="H843" s="78"/>
      <c r="J843" s="67"/>
    </row>
    <row r="844" ht="14.25" customHeight="1">
      <c r="C844" s="67"/>
      <c r="H844" s="78"/>
      <c r="J844" s="67"/>
    </row>
    <row r="845" ht="14.25" customHeight="1">
      <c r="C845" s="67"/>
      <c r="H845" s="78"/>
      <c r="J845" s="67"/>
    </row>
    <row r="846" ht="14.25" customHeight="1">
      <c r="C846" s="67"/>
      <c r="H846" s="78"/>
      <c r="J846" s="67"/>
    </row>
    <row r="847" ht="14.25" customHeight="1">
      <c r="C847" s="67"/>
      <c r="H847" s="78"/>
      <c r="J847" s="67"/>
    </row>
    <row r="848" ht="14.25" customHeight="1">
      <c r="C848" s="67"/>
      <c r="H848" s="78"/>
      <c r="J848" s="67"/>
    </row>
    <row r="849" ht="14.25" customHeight="1">
      <c r="C849" s="67"/>
      <c r="H849" s="78"/>
      <c r="J849" s="67"/>
    </row>
    <row r="850" ht="14.25" customHeight="1">
      <c r="C850" s="67"/>
      <c r="H850" s="78"/>
      <c r="J850" s="67"/>
    </row>
    <row r="851" ht="14.25" customHeight="1">
      <c r="C851" s="67"/>
      <c r="H851" s="78"/>
      <c r="J851" s="67"/>
    </row>
    <row r="852" ht="14.25" customHeight="1">
      <c r="C852" s="67"/>
      <c r="H852" s="78"/>
      <c r="J852" s="67"/>
    </row>
    <row r="853" ht="14.25" customHeight="1">
      <c r="C853" s="67"/>
      <c r="H853" s="78"/>
      <c r="J853" s="67"/>
    </row>
    <row r="854" ht="14.25" customHeight="1">
      <c r="C854" s="67"/>
      <c r="H854" s="78"/>
      <c r="J854" s="67"/>
    </row>
    <row r="855" ht="14.25" customHeight="1">
      <c r="C855" s="67"/>
      <c r="H855" s="78"/>
      <c r="J855" s="67"/>
    </row>
    <row r="856" ht="14.25" customHeight="1">
      <c r="C856" s="67"/>
      <c r="H856" s="78"/>
      <c r="J856" s="67"/>
    </row>
    <row r="857" ht="14.25" customHeight="1">
      <c r="C857" s="67"/>
      <c r="H857" s="78"/>
      <c r="J857" s="67"/>
    </row>
    <row r="858" ht="14.25" customHeight="1">
      <c r="C858" s="67"/>
      <c r="H858" s="78"/>
      <c r="J858" s="67"/>
    </row>
    <row r="859" ht="14.25" customHeight="1">
      <c r="C859" s="67"/>
      <c r="H859" s="78"/>
      <c r="J859" s="67"/>
    </row>
    <row r="860" ht="14.25" customHeight="1">
      <c r="C860" s="67"/>
      <c r="H860" s="78"/>
      <c r="J860" s="67"/>
    </row>
    <row r="861" ht="14.25" customHeight="1">
      <c r="C861" s="67"/>
      <c r="H861" s="78"/>
      <c r="J861" s="67"/>
    </row>
    <row r="862" ht="14.25" customHeight="1">
      <c r="C862" s="67"/>
      <c r="H862" s="78"/>
      <c r="J862" s="67"/>
    </row>
    <row r="863" ht="14.25" customHeight="1">
      <c r="C863" s="67"/>
      <c r="H863" s="78"/>
      <c r="J863" s="67"/>
    </row>
    <row r="864" ht="14.25" customHeight="1">
      <c r="C864" s="67"/>
      <c r="H864" s="78"/>
      <c r="J864" s="67"/>
    </row>
    <row r="865" ht="14.25" customHeight="1">
      <c r="C865" s="67"/>
      <c r="H865" s="78"/>
      <c r="J865" s="67"/>
    </row>
    <row r="866" ht="14.25" customHeight="1">
      <c r="C866" s="67"/>
      <c r="H866" s="78"/>
      <c r="J866" s="67"/>
    </row>
    <row r="867" ht="14.25" customHeight="1">
      <c r="C867" s="67"/>
      <c r="H867" s="78"/>
      <c r="J867" s="67"/>
    </row>
    <row r="868" ht="14.25" customHeight="1">
      <c r="C868" s="67"/>
      <c r="H868" s="78"/>
      <c r="J868" s="67"/>
    </row>
    <row r="869" ht="14.25" customHeight="1">
      <c r="C869" s="67"/>
      <c r="H869" s="78"/>
      <c r="J869" s="67"/>
    </row>
    <row r="870" ht="14.25" customHeight="1">
      <c r="C870" s="67"/>
      <c r="H870" s="78"/>
      <c r="J870" s="67"/>
    </row>
    <row r="871" ht="14.25" customHeight="1">
      <c r="C871" s="67"/>
      <c r="H871" s="78"/>
      <c r="J871" s="67"/>
    </row>
    <row r="872" ht="14.25" customHeight="1">
      <c r="C872" s="67"/>
      <c r="H872" s="78"/>
      <c r="J872" s="67"/>
    </row>
    <row r="873" ht="14.25" customHeight="1">
      <c r="C873" s="67"/>
      <c r="H873" s="78"/>
      <c r="J873" s="67"/>
    </row>
    <row r="874" ht="14.25" customHeight="1">
      <c r="C874" s="67"/>
      <c r="H874" s="78"/>
      <c r="J874" s="67"/>
    </row>
    <row r="875" ht="14.25" customHeight="1">
      <c r="C875" s="67"/>
      <c r="H875" s="78"/>
      <c r="J875" s="67"/>
    </row>
    <row r="876" ht="14.25" customHeight="1">
      <c r="C876" s="67"/>
      <c r="H876" s="78"/>
      <c r="J876" s="67"/>
    </row>
    <row r="877" ht="14.25" customHeight="1">
      <c r="C877" s="67"/>
      <c r="H877" s="78"/>
      <c r="J877" s="67"/>
    </row>
    <row r="878" ht="14.25" customHeight="1">
      <c r="C878" s="67"/>
      <c r="H878" s="78"/>
      <c r="J878" s="67"/>
    </row>
    <row r="879" ht="14.25" customHeight="1">
      <c r="C879" s="67"/>
      <c r="H879" s="78"/>
      <c r="J879" s="67"/>
    </row>
    <row r="880" ht="14.25" customHeight="1">
      <c r="C880" s="67"/>
      <c r="H880" s="78"/>
      <c r="J880" s="67"/>
    </row>
    <row r="881" ht="14.25" customHeight="1">
      <c r="C881" s="67"/>
      <c r="H881" s="78"/>
      <c r="J881" s="67"/>
    </row>
    <row r="882" ht="14.25" customHeight="1">
      <c r="C882" s="67"/>
      <c r="H882" s="78"/>
      <c r="J882" s="67"/>
    </row>
    <row r="883" ht="14.25" customHeight="1">
      <c r="C883" s="67"/>
      <c r="H883" s="78"/>
      <c r="J883" s="67"/>
    </row>
    <row r="884" ht="14.25" customHeight="1">
      <c r="C884" s="67"/>
      <c r="H884" s="78"/>
      <c r="J884" s="67"/>
    </row>
    <row r="885" ht="14.25" customHeight="1">
      <c r="C885" s="67"/>
      <c r="H885" s="78"/>
      <c r="J885" s="67"/>
    </row>
    <row r="886" ht="14.25" customHeight="1">
      <c r="C886" s="67"/>
      <c r="H886" s="78"/>
      <c r="J886" s="67"/>
    </row>
    <row r="887" ht="14.25" customHeight="1">
      <c r="C887" s="67"/>
      <c r="H887" s="78"/>
      <c r="J887" s="67"/>
    </row>
    <row r="888" ht="14.25" customHeight="1">
      <c r="C888" s="67"/>
      <c r="H888" s="78"/>
      <c r="J888" s="67"/>
    </row>
    <row r="889" ht="14.25" customHeight="1">
      <c r="C889" s="67"/>
      <c r="H889" s="78"/>
      <c r="J889" s="67"/>
    </row>
    <row r="890" ht="14.25" customHeight="1">
      <c r="C890" s="67"/>
      <c r="H890" s="78"/>
      <c r="J890" s="67"/>
    </row>
    <row r="891" ht="14.25" customHeight="1">
      <c r="C891" s="67"/>
      <c r="H891" s="78"/>
      <c r="J891" s="67"/>
    </row>
    <row r="892" ht="14.25" customHeight="1">
      <c r="C892" s="67"/>
      <c r="H892" s="78"/>
      <c r="J892" s="67"/>
    </row>
    <row r="893" ht="14.25" customHeight="1">
      <c r="C893" s="67"/>
      <c r="H893" s="78"/>
      <c r="J893" s="67"/>
    </row>
    <row r="894" ht="14.25" customHeight="1">
      <c r="C894" s="67"/>
      <c r="H894" s="78"/>
      <c r="J894" s="67"/>
    </row>
    <row r="895" ht="14.25" customHeight="1">
      <c r="C895" s="67"/>
      <c r="H895" s="78"/>
      <c r="J895" s="67"/>
    </row>
    <row r="896" ht="14.25" customHeight="1">
      <c r="C896" s="67"/>
      <c r="H896" s="78"/>
      <c r="J896" s="67"/>
    </row>
    <row r="897" ht="14.25" customHeight="1">
      <c r="C897" s="67"/>
      <c r="H897" s="78"/>
      <c r="J897" s="67"/>
    </row>
    <row r="898" ht="14.25" customHeight="1">
      <c r="C898" s="67"/>
      <c r="H898" s="78"/>
      <c r="J898" s="67"/>
    </row>
    <row r="899" ht="14.25" customHeight="1">
      <c r="C899" s="67"/>
      <c r="H899" s="78"/>
      <c r="J899" s="67"/>
    </row>
    <row r="900" ht="14.25" customHeight="1">
      <c r="C900" s="67"/>
      <c r="H900" s="78"/>
      <c r="J900" s="67"/>
    </row>
    <row r="901" ht="14.25" customHeight="1">
      <c r="C901" s="67"/>
      <c r="H901" s="78"/>
      <c r="J901" s="67"/>
    </row>
    <row r="902" ht="14.25" customHeight="1">
      <c r="C902" s="67"/>
      <c r="H902" s="78"/>
      <c r="J902" s="67"/>
    </row>
    <row r="903" ht="14.25" customHeight="1">
      <c r="C903" s="67"/>
      <c r="H903" s="78"/>
      <c r="J903" s="67"/>
    </row>
    <row r="904" ht="14.25" customHeight="1">
      <c r="C904" s="67"/>
      <c r="H904" s="78"/>
      <c r="J904" s="67"/>
    </row>
    <row r="905" ht="14.25" customHeight="1">
      <c r="C905" s="67"/>
      <c r="H905" s="78"/>
      <c r="J905" s="67"/>
    </row>
    <row r="906" ht="14.25" customHeight="1">
      <c r="C906" s="67"/>
      <c r="H906" s="78"/>
      <c r="J906" s="67"/>
    </row>
    <row r="907" ht="14.25" customHeight="1">
      <c r="C907" s="67"/>
      <c r="H907" s="78"/>
      <c r="J907" s="67"/>
    </row>
    <row r="908" ht="14.25" customHeight="1">
      <c r="C908" s="67"/>
      <c r="H908" s="78"/>
      <c r="J908" s="67"/>
    </row>
    <row r="909" ht="14.25" customHeight="1">
      <c r="C909" s="67"/>
      <c r="H909" s="78"/>
      <c r="J909" s="67"/>
    </row>
    <row r="910" ht="14.25" customHeight="1">
      <c r="C910" s="67"/>
      <c r="H910" s="78"/>
      <c r="J910" s="67"/>
    </row>
    <row r="911" ht="14.25" customHeight="1">
      <c r="C911" s="67"/>
      <c r="H911" s="78"/>
      <c r="J911" s="67"/>
    </row>
    <row r="912" ht="14.25" customHeight="1">
      <c r="C912" s="67"/>
      <c r="H912" s="78"/>
      <c r="J912" s="67"/>
    </row>
    <row r="913" ht="14.25" customHeight="1">
      <c r="C913" s="67"/>
      <c r="H913" s="78"/>
      <c r="J913" s="67"/>
    </row>
    <row r="914" ht="14.25" customHeight="1">
      <c r="C914" s="67"/>
      <c r="H914" s="78"/>
      <c r="J914" s="67"/>
    </row>
    <row r="915" ht="14.25" customHeight="1">
      <c r="C915" s="67"/>
      <c r="H915" s="78"/>
      <c r="J915" s="67"/>
    </row>
    <row r="916" ht="14.25" customHeight="1">
      <c r="C916" s="67"/>
      <c r="H916" s="78"/>
      <c r="J916" s="67"/>
    </row>
    <row r="917" ht="14.25" customHeight="1">
      <c r="C917" s="67"/>
      <c r="H917" s="78"/>
      <c r="J917" s="67"/>
    </row>
    <row r="918" ht="14.25" customHeight="1">
      <c r="C918" s="67"/>
      <c r="H918" s="78"/>
      <c r="J918" s="67"/>
    </row>
    <row r="919" ht="14.25" customHeight="1">
      <c r="C919" s="67"/>
      <c r="H919" s="78"/>
      <c r="J919" s="67"/>
    </row>
    <row r="920" ht="14.25" customHeight="1">
      <c r="C920" s="67"/>
      <c r="H920" s="78"/>
      <c r="J920" s="67"/>
    </row>
    <row r="921" ht="14.25" customHeight="1">
      <c r="C921" s="67"/>
      <c r="H921" s="78"/>
      <c r="J921" s="67"/>
    </row>
    <row r="922" ht="14.25" customHeight="1">
      <c r="C922" s="67"/>
      <c r="H922" s="78"/>
      <c r="J922" s="67"/>
    </row>
    <row r="923" ht="14.25" customHeight="1">
      <c r="C923" s="67"/>
      <c r="H923" s="78"/>
      <c r="J923" s="67"/>
    </row>
    <row r="924" ht="14.25" customHeight="1">
      <c r="C924" s="67"/>
      <c r="H924" s="78"/>
      <c r="J924" s="67"/>
    </row>
    <row r="925" ht="14.25" customHeight="1">
      <c r="C925" s="67"/>
      <c r="H925" s="78"/>
      <c r="J925" s="67"/>
    </row>
    <row r="926" ht="14.25" customHeight="1">
      <c r="C926" s="67"/>
      <c r="H926" s="78"/>
      <c r="J926" s="67"/>
    </row>
    <row r="927" ht="14.25" customHeight="1">
      <c r="C927" s="67"/>
      <c r="H927" s="78"/>
      <c r="J927" s="67"/>
    </row>
    <row r="928" ht="14.25" customHeight="1">
      <c r="C928" s="67"/>
      <c r="H928" s="78"/>
      <c r="J928" s="67"/>
    </row>
    <row r="929" ht="14.25" customHeight="1">
      <c r="C929" s="67"/>
      <c r="H929" s="78"/>
      <c r="J929" s="67"/>
    </row>
    <row r="930" ht="14.25" customHeight="1">
      <c r="C930" s="67"/>
      <c r="H930" s="78"/>
      <c r="J930" s="67"/>
    </row>
    <row r="931" ht="14.25" customHeight="1">
      <c r="C931" s="67"/>
      <c r="H931" s="78"/>
      <c r="J931" s="67"/>
    </row>
    <row r="932" ht="14.25" customHeight="1">
      <c r="C932" s="67"/>
      <c r="H932" s="78"/>
      <c r="J932" s="67"/>
    </row>
    <row r="933" ht="14.25" customHeight="1">
      <c r="C933" s="67"/>
      <c r="H933" s="78"/>
      <c r="J933" s="67"/>
    </row>
    <row r="934" ht="14.25" customHeight="1">
      <c r="C934" s="67"/>
      <c r="H934" s="78"/>
      <c r="J934" s="67"/>
    </row>
    <row r="935" ht="14.25" customHeight="1">
      <c r="C935" s="67"/>
      <c r="H935" s="78"/>
      <c r="J935" s="67"/>
    </row>
    <row r="936" ht="14.25" customHeight="1">
      <c r="C936" s="67"/>
      <c r="H936" s="78"/>
      <c r="J936" s="67"/>
    </row>
    <row r="937" ht="14.25" customHeight="1">
      <c r="C937" s="67"/>
      <c r="H937" s="78"/>
      <c r="J937" s="67"/>
    </row>
    <row r="938" ht="14.25" customHeight="1">
      <c r="C938" s="67"/>
      <c r="H938" s="78"/>
      <c r="J938" s="67"/>
    </row>
    <row r="939" ht="14.25" customHeight="1">
      <c r="C939" s="67"/>
      <c r="H939" s="78"/>
      <c r="J939" s="67"/>
    </row>
    <row r="940" ht="14.25" customHeight="1">
      <c r="C940" s="67"/>
      <c r="H940" s="78"/>
      <c r="J940" s="67"/>
    </row>
    <row r="941" ht="14.25" customHeight="1">
      <c r="C941" s="67"/>
      <c r="H941" s="78"/>
      <c r="J941" s="67"/>
    </row>
    <row r="942" ht="14.25" customHeight="1">
      <c r="C942" s="67"/>
      <c r="H942" s="78"/>
      <c r="J942" s="67"/>
    </row>
    <row r="943" ht="14.25" customHeight="1">
      <c r="C943" s="67"/>
      <c r="H943" s="78"/>
      <c r="J943" s="67"/>
    </row>
    <row r="944" ht="14.25" customHeight="1">
      <c r="C944" s="67"/>
      <c r="H944" s="78"/>
      <c r="J944" s="67"/>
    </row>
    <row r="945" ht="14.25" customHeight="1">
      <c r="C945" s="67"/>
      <c r="H945" s="78"/>
      <c r="J945" s="67"/>
    </row>
    <row r="946" ht="14.25" customHeight="1">
      <c r="C946" s="67"/>
      <c r="H946" s="78"/>
      <c r="J946" s="67"/>
    </row>
    <row r="947" ht="14.25" customHeight="1">
      <c r="C947" s="67"/>
      <c r="H947" s="78"/>
      <c r="J947" s="67"/>
    </row>
    <row r="948" ht="14.25" customHeight="1">
      <c r="C948" s="67"/>
      <c r="H948" s="78"/>
      <c r="J948" s="67"/>
    </row>
    <row r="949" ht="14.25" customHeight="1">
      <c r="C949" s="67"/>
      <c r="H949" s="78"/>
      <c r="J949" s="67"/>
    </row>
    <row r="950" ht="14.25" customHeight="1">
      <c r="C950" s="67"/>
      <c r="H950" s="78"/>
      <c r="J950" s="67"/>
    </row>
    <row r="951" ht="14.25" customHeight="1">
      <c r="C951" s="67"/>
      <c r="H951" s="78"/>
      <c r="J951" s="67"/>
    </row>
    <row r="952" ht="14.25" customHeight="1">
      <c r="C952" s="67"/>
      <c r="H952" s="78"/>
      <c r="J952" s="67"/>
    </row>
    <row r="953" ht="14.25" customHeight="1">
      <c r="C953" s="67"/>
      <c r="H953" s="78"/>
      <c r="J953" s="67"/>
    </row>
    <row r="954" ht="14.25" customHeight="1">
      <c r="C954" s="67"/>
      <c r="H954" s="78"/>
      <c r="J954" s="67"/>
    </row>
    <row r="955" ht="14.25" customHeight="1">
      <c r="C955" s="67"/>
      <c r="H955" s="78"/>
      <c r="J955" s="67"/>
    </row>
    <row r="956" ht="14.25" customHeight="1">
      <c r="C956" s="67"/>
      <c r="H956" s="78"/>
      <c r="J956" s="67"/>
    </row>
    <row r="957" ht="14.25" customHeight="1">
      <c r="C957" s="67"/>
      <c r="H957" s="78"/>
      <c r="J957" s="67"/>
    </row>
    <row r="958" ht="14.25" customHeight="1">
      <c r="C958" s="67"/>
      <c r="H958" s="78"/>
      <c r="J958" s="67"/>
    </row>
    <row r="959" ht="14.25" customHeight="1">
      <c r="C959" s="67"/>
      <c r="H959" s="78"/>
      <c r="J959" s="67"/>
    </row>
    <row r="960" ht="14.25" customHeight="1">
      <c r="C960" s="67"/>
      <c r="H960" s="78"/>
      <c r="J960" s="67"/>
    </row>
    <row r="961" ht="14.25" customHeight="1">
      <c r="C961" s="67"/>
      <c r="H961" s="78"/>
      <c r="J961" s="67"/>
    </row>
    <row r="962" ht="14.25" customHeight="1">
      <c r="C962" s="67"/>
      <c r="H962" s="78"/>
      <c r="J962" s="67"/>
    </row>
    <row r="963" ht="14.25" customHeight="1">
      <c r="C963" s="67"/>
      <c r="H963" s="78"/>
      <c r="J963" s="67"/>
    </row>
    <row r="964" ht="14.25" customHeight="1">
      <c r="C964" s="67"/>
      <c r="H964" s="78"/>
      <c r="J964" s="67"/>
    </row>
    <row r="965" ht="14.25" customHeight="1">
      <c r="C965" s="67"/>
      <c r="H965" s="78"/>
      <c r="J965" s="67"/>
    </row>
    <row r="966" ht="14.25" customHeight="1">
      <c r="C966" s="67"/>
      <c r="H966" s="78"/>
      <c r="J966" s="67"/>
    </row>
    <row r="967" ht="14.25" customHeight="1">
      <c r="C967" s="67"/>
      <c r="H967" s="78"/>
      <c r="J967" s="67"/>
    </row>
    <row r="968" ht="14.25" customHeight="1">
      <c r="C968" s="67"/>
      <c r="H968" s="78"/>
      <c r="J968" s="67"/>
    </row>
    <row r="969" ht="14.25" customHeight="1">
      <c r="C969" s="67"/>
      <c r="H969" s="78"/>
      <c r="J969" s="67"/>
    </row>
    <row r="970" ht="14.25" customHeight="1">
      <c r="C970" s="67"/>
      <c r="H970" s="78"/>
      <c r="J970" s="67"/>
    </row>
    <row r="971" ht="14.25" customHeight="1">
      <c r="C971" s="67"/>
      <c r="H971" s="78"/>
      <c r="J971" s="67"/>
    </row>
    <row r="972" ht="14.25" customHeight="1">
      <c r="C972" s="67"/>
      <c r="H972" s="78"/>
      <c r="J972" s="67"/>
    </row>
    <row r="973" ht="14.25" customHeight="1">
      <c r="C973" s="67"/>
      <c r="H973" s="78"/>
      <c r="J973" s="67"/>
    </row>
    <row r="974" ht="14.25" customHeight="1">
      <c r="C974" s="67"/>
      <c r="H974" s="78"/>
      <c r="J974" s="67"/>
    </row>
    <row r="975" ht="14.25" customHeight="1">
      <c r="C975" s="67"/>
      <c r="H975" s="78"/>
      <c r="J975" s="67"/>
    </row>
    <row r="976" ht="14.25" customHeight="1">
      <c r="C976" s="67"/>
      <c r="H976" s="78"/>
      <c r="J976" s="67"/>
    </row>
    <row r="977" ht="14.25" customHeight="1">
      <c r="C977" s="67"/>
      <c r="H977" s="78"/>
      <c r="J977" s="67"/>
    </row>
    <row r="978" ht="14.25" customHeight="1">
      <c r="C978" s="67"/>
      <c r="H978" s="78"/>
      <c r="J978" s="67"/>
    </row>
    <row r="979" ht="14.25" customHeight="1">
      <c r="C979" s="67"/>
      <c r="H979" s="78"/>
      <c r="J979" s="67"/>
    </row>
    <row r="980" ht="14.25" customHeight="1">
      <c r="C980" s="67"/>
      <c r="H980" s="78"/>
      <c r="J980" s="67"/>
    </row>
    <row r="981" ht="14.25" customHeight="1">
      <c r="C981" s="67"/>
      <c r="H981" s="78"/>
      <c r="J981" s="67"/>
    </row>
    <row r="982" ht="14.25" customHeight="1">
      <c r="C982" s="67"/>
      <c r="H982" s="78"/>
      <c r="J982" s="67"/>
    </row>
    <row r="983" ht="14.25" customHeight="1">
      <c r="C983" s="67"/>
      <c r="H983" s="78"/>
      <c r="J983" s="67"/>
    </row>
    <row r="984" ht="14.25" customHeight="1">
      <c r="C984" s="67"/>
      <c r="H984" s="78"/>
      <c r="J984" s="67"/>
    </row>
    <row r="985" ht="14.25" customHeight="1">
      <c r="C985" s="67"/>
      <c r="H985" s="78"/>
      <c r="J985" s="67"/>
    </row>
    <row r="986" ht="14.25" customHeight="1">
      <c r="C986" s="67"/>
      <c r="H986" s="78"/>
      <c r="J986" s="67"/>
    </row>
    <row r="987" ht="14.25" customHeight="1">
      <c r="C987" s="67"/>
      <c r="H987" s="78"/>
      <c r="J987" s="67"/>
    </row>
    <row r="988" ht="14.25" customHeight="1">
      <c r="C988" s="67"/>
      <c r="H988" s="78"/>
      <c r="J988" s="67"/>
    </row>
    <row r="989" ht="14.25" customHeight="1">
      <c r="C989" s="67"/>
      <c r="H989" s="78"/>
      <c r="J989" s="67"/>
    </row>
    <row r="990" ht="14.25" customHeight="1">
      <c r="C990" s="67"/>
      <c r="H990" s="78"/>
      <c r="J990" s="67"/>
    </row>
    <row r="991" ht="14.25" customHeight="1">
      <c r="C991" s="67"/>
      <c r="H991" s="78"/>
      <c r="J991" s="67"/>
    </row>
    <row r="992" ht="14.25" customHeight="1">
      <c r="C992" s="67"/>
      <c r="H992" s="78"/>
      <c r="J992" s="67"/>
    </row>
    <row r="993" ht="14.25" customHeight="1">
      <c r="C993" s="67"/>
      <c r="H993" s="78"/>
      <c r="J993" s="67"/>
    </row>
    <row r="994" ht="14.25" customHeight="1">
      <c r="C994" s="67"/>
      <c r="H994" s="78"/>
      <c r="J994" s="67"/>
    </row>
  </sheetData>
  <autoFilter ref="$A$1:$K$45">
    <sortState ref="A1:K45">
      <sortCondition descending="1" ref="K1:K45"/>
      <sortCondition descending="1" ref="B1:B45"/>
      <sortCondition descending="1" ref="H1:H45"/>
      <sortCondition descending="1" ref="F1:F45"/>
      <sortCondition descending="1" ref="D1:D45"/>
      <sortCondition descending="1" ref="G1:G45"/>
      <sortCondition descending="1" ref="I1:I45"/>
      <sortCondition descending="1" ref="E1:E45"/>
    </sortState>
  </autoFilter>
  <conditionalFormatting sqref="H2:H45">
    <cfRule type="cellIs" dxfId="0" priority="1" operator="greaterThanOrEqual">
      <formula>"50%"</formula>
    </cfRule>
  </conditionalFormatting>
  <conditionalFormatting sqref="H2:H45">
    <cfRule type="cellIs" dxfId="1" priority="2" operator="between">
      <formula>"40%"</formula>
      <formula>"50%"</formula>
    </cfRule>
  </conditionalFormatting>
  <conditionalFormatting sqref="H2:H45">
    <cfRule type="cellIs" dxfId="2" priority="3" operator="lessThan">
      <formula>"40%"</formula>
    </cfRule>
  </conditionalFormatting>
  <conditionalFormatting sqref="I31:I45">
    <cfRule type="notContainsBlanks" dxfId="3" priority="4">
      <formula>LEN(TRIM(I31))&gt;0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390</v>
      </c>
      <c r="B1" s="2"/>
      <c r="C1" s="3"/>
      <c r="E1" s="4" t="s">
        <v>1</v>
      </c>
      <c r="F1" s="2"/>
      <c r="G1" s="3"/>
      <c r="I1" s="1" t="s">
        <v>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640.47</v>
      </c>
      <c r="C3" s="14" t="s">
        <v>393</v>
      </c>
      <c r="E3" s="21" t="s">
        <v>37</v>
      </c>
      <c r="F3" s="19">
        <v>20.0</v>
      </c>
      <c r="G3" s="21" t="s">
        <v>277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17</v>
      </c>
      <c r="B4" s="19">
        <v>50.0</v>
      </c>
      <c r="C4" s="21" t="s">
        <v>18</v>
      </c>
      <c r="E4" s="21" t="s">
        <v>131</v>
      </c>
      <c r="F4" s="19">
        <v>60.0</v>
      </c>
      <c r="G4" s="21" t="s">
        <v>394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42</v>
      </c>
      <c r="B5" s="19">
        <v>90.0</v>
      </c>
      <c r="C5" s="21" t="s">
        <v>24</v>
      </c>
      <c r="E5" s="21" t="s">
        <v>50</v>
      </c>
      <c r="F5" s="19">
        <v>40.0</v>
      </c>
      <c r="G5" s="16" t="s">
        <v>351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53</v>
      </c>
      <c r="B6" s="19">
        <v>90.0</v>
      </c>
      <c r="C6" s="21" t="s">
        <v>24</v>
      </c>
      <c r="E6" s="21" t="s">
        <v>209</v>
      </c>
      <c r="F6" s="19">
        <v>40.0</v>
      </c>
      <c r="G6" s="16" t="s">
        <v>397</v>
      </c>
      <c r="I6" s="11">
        <v>4.0</v>
      </c>
      <c r="J6" s="16" t="s">
        <v>183</v>
      </c>
      <c r="K6" s="16"/>
    </row>
    <row r="7" ht="14.25" customHeight="1">
      <c r="A7" s="21" t="s">
        <v>33</v>
      </c>
      <c r="B7" s="19">
        <v>90.0</v>
      </c>
      <c r="C7" s="21" t="s">
        <v>24</v>
      </c>
      <c r="E7" s="21" t="s">
        <v>356</v>
      </c>
      <c r="F7" s="19">
        <v>20.0</v>
      </c>
      <c r="G7" s="21" t="s">
        <v>399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116</v>
      </c>
      <c r="B8" s="19">
        <v>-20.0</v>
      </c>
      <c r="C8" s="16" t="s">
        <v>400</v>
      </c>
      <c r="E8" s="21" t="s">
        <v>269</v>
      </c>
      <c r="F8" s="19">
        <v>20.0</v>
      </c>
      <c r="G8" s="16" t="s">
        <v>399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39</v>
      </c>
      <c r="B9" s="19">
        <v>90.0</v>
      </c>
      <c r="C9" s="21" t="s">
        <v>24</v>
      </c>
      <c r="E9" s="21" t="s">
        <v>74</v>
      </c>
      <c r="F9" s="19">
        <v>90.0</v>
      </c>
      <c r="G9" s="21" t="s">
        <v>24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60</v>
      </c>
      <c r="B10" s="18">
        <v>90.0</v>
      </c>
      <c r="C10" s="21" t="s">
        <v>24</v>
      </c>
      <c r="E10" s="21" t="s">
        <v>17</v>
      </c>
      <c r="F10" s="19">
        <v>50.0</v>
      </c>
      <c r="G10" s="21" t="s">
        <v>24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322</v>
      </c>
      <c r="B11" s="19">
        <v>80.0</v>
      </c>
      <c r="C11" s="20" t="s">
        <v>349</v>
      </c>
      <c r="I11" s="11">
        <v>9.0</v>
      </c>
      <c r="J11" s="29" t="s">
        <v>41</v>
      </c>
      <c r="K11" s="16" t="s">
        <v>20</v>
      </c>
    </row>
    <row r="12" ht="14.25" customHeight="1">
      <c r="A12" s="21" t="s">
        <v>19</v>
      </c>
      <c r="B12" s="19">
        <v>90.0</v>
      </c>
      <c r="C12" s="21" t="s">
        <v>18</v>
      </c>
      <c r="I12" s="11">
        <v>10.0</v>
      </c>
      <c r="J12" s="16" t="s">
        <v>28</v>
      </c>
      <c r="K12" s="16" t="s">
        <v>20</v>
      </c>
    </row>
    <row r="13" ht="14.25" customHeight="1">
      <c r="A13" s="21" t="s">
        <v>208</v>
      </c>
      <c r="B13" s="19">
        <v>20.0</v>
      </c>
      <c r="C13" s="21" t="s">
        <v>353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401</v>
      </c>
      <c r="E14" s="11" t="s">
        <v>46</v>
      </c>
      <c r="F14" s="12">
        <f>SUM(F3:F13)</f>
        <v>340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97</v>
      </c>
      <c r="B15" s="19">
        <v>90.0</v>
      </c>
      <c r="C15" s="21" t="s">
        <v>24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405</v>
      </c>
      <c r="B16" s="19">
        <v>180.0</v>
      </c>
      <c r="C16" s="21" t="s">
        <v>406</v>
      </c>
      <c r="I16" s="11">
        <v>14.0</v>
      </c>
      <c r="J16" s="21" t="s">
        <v>60</v>
      </c>
      <c r="K16" s="16" t="s">
        <v>20</v>
      </c>
    </row>
    <row r="17" ht="14.25" customHeight="1">
      <c r="A17" s="47" t="s">
        <v>201</v>
      </c>
      <c r="B17" s="18">
        <v>-55.0</v>
      </c>
      <c r="C17" s="16" t="s">
        <v>407</v>
      </c>
    </row>
    <row r="18" ht="14.25" customHeight="1">
      <c r="A18" s="21" t="s">
        <v>116</v>
      </c>
      <c r="B18" s="19">
        <v>-30.0</v>
      </c>
      <c r="C18" s="16" t="s">
        <v>399</v>
      </c>
    </row>
    <row r="19" ht="14.25" customHeight="1">
      <c r="A19" s="45" t="s">
        <v>21</v>
      </c>
      <c r="B19" s="18">
        <v>-239.0</v>
      </c>
      <c r="C19" s="16" t="s">
        <v>21</v>
      </c>
    </row>
    <row r="20" ht="14.25" customHeight="1">
      <c r="A20" s="21" t="s">
        <v>293</v>
      </c>
      <c r="B20" s="19">
        <v>90.0</v>
      </c>
      <c r="C20" s="21" t="s">
        <v>18</v>
      </c>
    </row>
    <row r="21" ht="14.25" customHeight="1">
      <c r="A21" s="21" t="s">
        <v>208</v>
      </c>
      <c r="B21" s="19">
        <v>90.0</v>
      </c>
      <c r="C21" s="21" t="s">
        <v>24</v>
      </c>
      <c r="E21" s="21" t="s">
        <v>180</v>
      </c>
      <c r="F21" s="19">
        <v>20.0</v>
      </c>
      <c r="G21" s="16" t="s">
        <v>181</v>
      </c>
    </row>
    <row r="22" ht="14.25" customHeight="1">
      <c r="A22" s="21" t="s">
        <v>356</v>
      </c>
      <c r="B22" s="18">
        <v>20.0</v>
      </c>
      <c r="C22" s="16" t="s">
        <v>399</v>
      </c>
      <c r="E22" s="21" t="s">
        <v>32</v>
      </c>
      <c r="F22" s="19">
        <v>200.0</v>
      </c>
      <c r="G22" s="21" t="s">
        <v>206</v>
      </c>
    </row>
    <row r="23" ht="14.25" customHeight="1">
      <c r="A23" s="21" t="s">
        <v>41</v>
      </c>
      <c r="B23" s="19">
        <v>200.0</v>
      </c>
      <c r="C23" s="21" t="s">
        <v>410</v>
      </c>
      <c r="E23" s="21" t="s">
        <v>304</v>
      </c>
      <c r="F23" s="19">
        <v>60.0</v>
      </c>
      <c r="G23" s="16" t="s">
        <v>305</v>
      </c>
    </row>
    <row r="24" ht="14.25" customHeight="1">
      <c r="A24" s="21" t="s">
        <v>293</v>
      </c>
      <c r="B24" s="18">
        <v>110.0</v>
      </c>
      <c r="C24" s="21" t="s">
        <v>412</v>
      </c>
      <c r="E24" s="21" t="s">
        <v>315</v>
      </c>
      <c r="F24" s="19">
        <v>20.0</v>
      </c>
      <c r="G24" s="21" t="s">
        <v>307</v>
      </c>
    </row>
    <row r="25" ht="14.25" customHeight="1">
      <c r="A25" s="21" t="s">
        <v>164</v>
      </c>
      <c r="B25" s="19">
        <v>-30.0</v>
      </c>
      <c r="C25" s="21" t="s">
        <v>415</v>
      </c>
    </row>
    <row r="26" ht="14.25" customHeight="1">
      <c r="A26" s="21" t="s">
        <v>65</v>
      </c>
      <c r="B26" s="19">
        <v>-30.0</v>
      </c>
      <c r="C26" s="21" t="s">
        <v>415</v>
      </c>
    </row>
    <row r="27" ht="14.25" customHeight="1">
      <c r="A27" s="21" t="s">
        <v>201</v>
      </c>
      <c r="B27" s="18">
        <v>-35.0</v>
      </c>
      <c r="C27" s="21" t="s">
        <v>416</v>
      </c>
    </row>
    <row r="28" ht="14.25" customHeight="1">
      <c r="A28" s="21" t="s">
        <v>217</v>
      </c>
      <c r="B28" s="18">
        <v>-220.0</v>
      </c>
      <c r="C28" s="21" t="s">
        <v>416</v>
      </c>
      <c r="G28" s="65">
        <f>1672.47-1667.47</f>
        <v>5</v>
      </c>
    </row>
    <row r="29" ht="14.25" customHeight="1">
      <c r="A29" s="21" t="s">
        <v>365</v>
      </c>
      <c r="B29" s="63">
        <v>40.0</v>
      </c>
      <c r="C29" s="16" t="s">
        <v>418</v>
      </c>
    </row>
    <row r="30" ht="14.25" customHeight="1">
      <c r="A30" s="21" t="s">
        <v>28</v>
      </c>
      <c r="B30" s="19">
        <v>90.0</v>
      </c>
      <c r="C30" s="21" t="s">
        <v>420</v>
      </c>
    </row>
    <row r="31" ht="14.25" customHeight="1">
      <c r="A31" s="21"/>
      <c r="B31" s="19"/>
      <c r="C31" s="16"/>
    </row>
    <row r="32" ht="14.25" customHeight="1">
      <c r="A32" s="21"/>
      <c r="B32" s="63"/>
      <c r="C32" s="16"/>
    </row>
    <row r="33" ht="14.25" customHeight="1">
      <c r="A33" s="21"/>
      <c r="B33" s="19"/>
      <c r="C33" s="20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631.47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392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631.47</v>
      </c>
      <c r="C3" s="14" t="s">
        <v>25</v>
      </c>
      <c r="E3" s="21" t="s">
        <v>37</v>
      </c>
      <c r="F3" s="19">
        <v>20.0</v>
      </c>
      <c r="G3" s="21" t="s">
        <v>277</v>
      </c>
      <c r="I3" s="11">
        <v>1.0</v>
      </c>
      <c r="J3" s="11" t="s">
        <v>19</v>
      </c>
      <c r="K3" s="16"/>
    </row>
    <row r="4" ht="14.25" customHeight="1">
      <c r="A4" s="21" t="s">
        <v>42</v>
      </c>
      <c r="B4" s="19">
        <v>90.0</v>
      </c>
      <c r="C4" s="21" t="s">
        <v>99</v>
      </c>
      <c r="E4" s="21" t="s">
        <v>131</v>
      </c>
      <c r="F4" s="19">
        <v>80.0</v>
      </c>
      <c r="G4" s="21" t="s">
        <v>395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396</v>
      </c>
      <c r="B5" s="19">
        <v>20.0</v>
      </c>
      <c r="C5" s="21" t="s">
        <v>398</v>
      </c>
      <c r="E5" s="21" t="s">
        <v>269</v>
      </c>
      <c r="F5" s="19">
        <v>20.0</v>
      </c>
      <c r="G5" s="16" t="s">
        <v>399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60</v>
      </c>
      <c r="B6" s="19">
        <v>90.0</v>
      </c>
      <c r="C6" s="21" t="s">
        <v>99</v>
      </c>
      <c r="E6" s="21" t="s">
        <v>17</v>
      </c>
      <c r="F6" s="19">
        <v>50.0</v>
      </c>
      <c r="G6" s="21" t="s">
        <v>99</v>
      </c>
      <c r="I6" s="11">
        <v>4.0</v>
      </c>
      <c r="J6" s="16" t="s">
        <v>183</v>
      </c>
      <c r="K6" s="16"/>
    </row>
    <row r="7" ht="14.25" customHeight="1">
      <c r="A7" s="21" t="s">
        <v>209</v>
      </c>
      <c r="B7" s="19">
        <v>40.0</v>
      </c>
      <c r="C7" s="16" t="s">
        <v>397</v>
      </c>
      <c r="E7" s="19" t="s">
        <v>28</v>
      </c>
      <c r="F7" s="19">
        <v>80.0</v>
      </c>
      <c r="G7" s="21" t="s">
        <v>99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33</v>
      </c>
      <c r="B8" s="19">
        <v>90.0</v>
      </c>
      <c r="C8" s="21" t="s">
        <v>99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39</v>
      </c>
      <c r="B9" s="19">
        <v>90.0</v>
      </c>
      <c r="C9" s="21" t="s">
        <v>99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17</v>
      </c>
      <c r="B10" s="19">
        <v>50.0</v>
      </c>
      <c r="C10" s="21" t="s">
        <v>24</v>
      </c>
      <c r="E10" s="11" t="s">
        <v>46</v>
      </c>
      <c r="F10" s="12">
        <f>SUM(F3:F9)</f>
        <v>250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356</v>
      </c>
      <c r="B11" s="19">
        <v>20.0</v>
      </c>
      <c r="C11" s="20" t="s">
        <v>402</v>
      </c>
      <c r="I11" s="11">
        <v>9.0</v>
      </c>
      <c r="J11" s="29" t="s">
        <v>41</v>
      </c>
      <c r="K11" s="16" t="s">
        <v>20</v>
      </c>
    </row>
    <row r="12" ht="14.25" customHeight="1">
      <c r="A12" s="21" t="s">
        <v>74</v>
      </c>
      <c r="B12" s="19">
        <v>180.0</v>
      </c>
      <c r="C12" s="21" t="s">
        <v>403</v>
      </c>
      <c r="I12" s="11">
        <v>10.0</v>
      </c>
      <c r="J12" s="16" t="s">
        <v>28</v>
      </c>
      <c r="K12" s="16"/>
    </row>
    <row r="13" ht="14.25" customHeight="1">
      <c r="A13" s="21" t="s">
        <v>97</v>
      </c>
      <c r="B13" s="19">
        <v>90.0</v>
      </c>
      <c r="C13" s="21" t="s">
        <v>99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404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208</v>
      </c>
      <c r="B15" s="19">
        <v>90.0</v>
      </c>
      <c r="C15" s="21" t="s">
        <v>99</v>
      </c>
      <c r="D15" s="39"/>
      <c r="I15" s="11">
        <v>13.0</v>
      </c>
      <c r="J15" s="11" t="s">
        <v>74</v>
      </c>
      <c r="K15" s="16" t="s">
        <v>20</v>
      </c>
    </row>
    <row r="16" ht="14.25" customHeight="1">
      <c r="A16" s="21" t="s">
        <v>65</v>
      </c>
      <c r="B16" s="19">
        <v>-30.0</v>
      </c>
      <c r="C16" s="20" t="s">
        <v>402</v>
      </c>
      <c r="I16" s="11">
        <v>14.0</v>
      </c>
      <c r="J16" s="21" t="s">
        <v>60</v>
      </c>
      <c r="K16" s="16" t="s">
        <v>20</v>
      </c>
    </row>
    <row r="17" ht="14.25" customHeight="1">
      <c r="A17" s="47" t="s">
        <v>26</v>
      </c>
      <c r="B17" s="19">
        <v>90.0</v>
      </c>
      <c r="C17" s="21" t="s">
        <v>99</v>
      </c>
    </row>
    <row r="18" ht="14.25" customHeight="1">
      <c r="A18" s="21" t="s">
        <v>408</v>
      </c>
      <c r="B18" s="19">
        <v>20.0</v>
      </c>
      <c r="C18" s="21" t="s">
        <v>398</v>
      </c>
    </row>
    <row r="19" ht="14.25" customHeight="1">
      <c r="A19" s="45" t="s">
        <v>53</v>
      </c>
      <c r="B19" s="19">
        <v>90.0</v>
      </c>
      <c r="C19" s="21" t="s">
        <v>99</v>
      </c>
    </row>
    <row r="20" ht="14.25" customHeight="1">
      <c r="A20" s="21" t="s">
        <v>41</v>
      </c>
      <c r="B20" s="19">
        <v>90.0</v>
      </c>
      <c r="C20" s="21" t="s">
        <v>99</v>
      </c>
    </row>
    <row r="21" ht="14.25" customHeight="1">
      <c r="A21" s="21" t="s">
        <v>19</v>
      </c>
      <c r="B21" s="19">
        <v>105.0</v>
      </c>
      <c r="C21" s="21" t="s">
        <v>21</v>
      </c>
    </row>
    <row r="22" ht="14.25" customHeight="1">
      <c r="A22" s="21" t="s">
        <v>19</v>
      </c>
      <c r="B22" s="18">
        <v>90.0</v>
      </c>
      <c r="C22" s="21" t="s">
        <v>24</v>
      </c>
    </row>
    <row r="23" ht="14.25" customHeight="1">
      <c r="A23" s="21" t="s">
        <v>65</v>
      </c>
      <c r="B23" s="19">
        <v>-30.0</v>
      </c>
      <c r="C23" s="20" t="s">
        <v>409</v>
      </c>
    </row>
    <row r="24" ht="14.25" customHeight="1">
      <c r="A24" s="21" t="s">
        <v>164</v>
      </c>
      <c r="B24" s="19">
        <v>-30.0</v>
      </c>
      <c r="C24" s="20" t="s">
        <v>409</v>
      </c>
    </row>
    <row r="25" ht="14.25" customHeight="1">
      <c r="A25" s="21" t="s">
        <v>411</v>
      </c>
      <c r="B25" s="19">
        <v>20.0</v>
      </c>
      <c r="C25" s="20" t="s">
        <v>409</v>
      </c>
    </row>
    <row r="26" ht="14.25" customHeight="1">
      <c r="A26" s="21" t="s">
        <v>209</v>
      </c>
      <c r="B26" s="19">
        <v>40.0</v>
      </c>
      <c r="C26" s="21" t="s">
        <v>413</v>
      </c>
    </row>
    <row r="27" ht="14.25" customHeight="1">
      <c r="A27" s="21" t="s">
        <v>100</v>
      </c>
      <c r="B27" s="18">
        <v>80.0</v>
      </c>
      <c r="C27" s="21" t="s">
        <v>414</v>
      </c>
    </row>
    <row r="28" ht="14.25" customHeight="1">
      <c r="A28" s="21" t="s">
        <v>209</v>
      </c>
      <c r="B28" s="19">
        <v>20.0</v>
      </c>
      <c r="C28" s="21" t="s">
        <v>364</v>
      </c>
    </row>
    <row r="29" ht="14.25" customHeight="1">
      <c r="A29" s="21" t="s">
        <v>33</v>
      </c>
      <c r="B29" s="19">
        <v>20.0</v>
      </c>
      <c r="C29" s="21" t="s">
        <v>364</v>
      </c>
    </row>
    <row r="30" ht="14.25" customHeight="1">
      <c r="A30" s="21" t="s">
        <v>60</v>
      </c>
      <c r="B30" s="19">
        <v>-140.0</v>
      </c>
      <c r="C30" s="21" t="s">
        <v>364</v>
      </c>
    </row>
    <row r="31" ht="14.25" customHeight="1">
      <c r="A31" s="21" t="s">
        <v>53</v>
      </c>
      <c r="B31" s="19">
        <v>-210.0</v>
      </c>
      <c r="C31" s="16" t="s">
        <v>21</v>
      </c>
    </row>
    <row r="32" ht="14.25" customHeight="1">
      <c r="A32" s="21" t="s">
        <v>56</v>
      </c>
      <c r="B32" s="63">
        <v>30.0</v>
      </c>
      <c r="C32" s="16" t="s">
        <v>417</v>
      </c>
    </row>
    <row r="33" ht="14.25" customHeight="1">
      <c r="A33" s="21" t="s">
        <v>293</v>
      </c>
      <c r="B33" s="19">
        <v>70.0</v>
      </c>
      <c r="C33" s="21" t="s">
        <v>99</v>
      </c>
    </row>
    <row r="34" ht="14.25" customHeight="1">
      <c r="A34" s="21" t="s">
        <v>50</v>
      </c>
      <c r="B34" s="19">
        <v>30.0</v>
      </c>
      <c r="C34" s="16" t="s">
        <v>417</v>
      </c>
    </row>
    <row r="35" ht="14.25" customHeight="1">
      <c r="A35" s="21" t="s">
        <v>419</v>
      </c>
      <c r="B35" s="19">
        <v>20.0</v>
      </c>
      <c r="C35" s="21" t="s">
        <v>421</v>
      </c>
    </row>
    <row r="36" ht="14.25" customHeight="1">
      <c r="A36" s="21" t="s">
        <v>348</v>
      </c>
      <c r="B36" s="19">
        <v>20.0</v>
      </c>
      <c r="C36" s="21" t="s">
        <v>421</v>
      </c>
    </row>
    <row r="37" ht="14.25" customHeight="1">
      <c r="A37" s="21" t="s">
        <v>65</v>
      </c>
      <c r="B37" s="19">
        <v>-30.0</v>
      </c>
      <c r="C37" s="21" t="s">
        <v>421</v>
      </c>
    </row>
    <row r="38" ht="14.25" customHeight="1">
      <c r="A38" s="21" t="s">
        <v>361</v>
      </c>
      <c r="B38" s="19">
        <v>-30.0</v>
      </c>
      <c r="C38" s="21" t="s">
        <v>421</v>
      </c>
    </row>
    <row r="39" ht="14.25" customHeight="1">
      <c r="A39" s="21" t="s">
        <v>187</v>
      </c>
      <c r="B39" s="19">
        <v>20.0</v>
      </c>
      <c r="C39" s="21" t="s">
        <v>421</v>
      </c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886.47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422</v>
      </c>
      <c r="B1" s="2"/>
      <c r="C1" s="3"/>
      <c r="E1" s="4" t="s">
        <v>1</v>
      </c>
      <c r="F1" s="2"/>
      <c r="G1" s="3"/>
      <c r="I1" s="1" t="s">
        <v>14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886.47</v>
      </c>
      <c r="C3" s="14" t="s">
        <v>423</v>
      </c>
      <c r="E3" s="21" t="s">
        <v>37</v>
      </c>
      <c r="F3" s="19">
        <v>20.0</v>
      </c>
      <c r="G3" s="21" t="s">
        <v>277</v>
      </c>
      <c r="I3" s="11">
        <v>1.0</v>
      </c>
      <c r="J3" s="11" t="s">
        <v>19</v>
      </c>
      <c r="K3" s="16"/>
    </row>
    <row r="4" ht="14.25" customHeight="1">
      <c r="A4" s="21" t="s">
        <v>424</v>
      </c>
      <c r="B4" s="19">
        <v>90.0</v>
      </c>
      <c r="C4" s="21" t="s">
        <v>71</v>
      </c>
      <c r="E4" s="21" t="s">
        <v>131</v>
      </c>
      <c r="F4" s="19">
        <v>120.0</v>
      </c>
      <c r="G4" s="21" t="s">
        <v>425</v>
      </c>
      <c r="I4" s="11">
        <v>2.0</v>
      </c>
      <c r="J4" s="11" t="s">
        <v>26</v>
      </c>
      <c r="K4" s="16"/>
    </row>
    <row r="5" ht="14.25" customHeight="1">
      <c r="A5" s="21" t="s">
        <v>39</v>
      </c>
      <c r="B5" s="19">
        <v>90.0</v>
      </c>
      <c r="C5" s="21" t="s">
        <v>71</v>
      </c>
      <c r="E5" s="21" t="s">
        <v>269</v>
      </c>
      <c r="F5" s="19">
        <v>60.0</v>
      </c>
      <c r="G5" s="16" t="s">
        <v>426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17</v>
      </c>
      <c r="B6" s="19">
        <v>50.0</v>
      </c>
      <c r="C6" s="21" t="s">
        <v>99</v>
      </c>
      <c r="E6" s="21" t="s">
        <v>121</v>
      </c>
      <c r="F6" s="19">
        <v>20.0</v>
      </c>
      <c r="G6" s="21" t="s">
        <v>427</v>
      </c>
      <c r="I6" s="11">
        <v>4.0</v>
      </c>
      <c r="J6" s="16" t="s">
        <v>183</v>
      </c>
      <c r="K6" s="16"/>
    </row>
    <row r="7" ht="14.25" customHeight="1">
      <c r="A7" s="21" t="s">
        <v>60</v>
      </c>
      <c r="B7" s="19">
        <v>90.0</v>
      </c>
      <c r="C7" s="21" t="s">
        <v>71</v>
      </c>
      <c r="E7" s="21" t="s">
        <v>221</v>
      </c>
      <c r="F7" s="19">
        <v>20.0</v>
      </c>
      <c r="G7" s="21" t="s">
        <v>427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33</v>
      </c>
      <c r="B8" s="19">
        <v>90.0</v>
      </c>
      <c r="C8" s="21" t="s">
        <v>71</v>
      </c>
      <c r="E8" s="21" t="s">
        <v>290</v>
      </c>
      <c r="F8" s="19">
        <v>60.0</v>
      </c>
      <c r="G8" s="21" t="s">
        <v>428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65</v>
      </c>
      <c r="B9" s="19">
        <v>-30.0</v>
      </c>
      <c r="C9" s="21" t="s">
        <v>427</v>
      </c>
      <c r="E9" s="21" t="s">
        <v>209</v>
      </c>
      <c r="F9" s="19">
        <v>20.0</v>
      </c>
      <c r="G9" s="21" t="s">
        <v>429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164</v>
      </c>
      <c r="B10" s="19">
        <v>-30.0</v>
      </c>
      <c r="C10" s="21" t="s">
        <v>427</v>
      </c>
      <c r="E10" s="21" t="s">
        <v>26</v>
      </c>
      <c r="F10" s="19">
        <v>90.0</v>
      </c>
      <c r="G10" s="21" t="s">
        <v>71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430</v>
      </c>
      <c r="B11" s="19">
        <v>90.0</v>
      </c>
      <c r="C11" s="21" t="s">
        <v>71</v>
      </c>
      <c r="E11" s="21" t="s">
        <v>17</v>
      </c>
      <c r="F11" s="19">
        <v>90.0</v>
      </c>
      <c r="G11" s="21" t="s">
        <v>71</v>
      </c>
      <c r="I11" s="11">
        <v>9.0</v>
      </c>
      <c r="J11" s="29" t="s">
        <v>41</v>
      </c>
      <c r="K11" s="16"/>
    </row>
    <row r="12" ht="14.25" customHeight="1">
      <c r="A12" s="21" t="s">
        <v>97</v>
      </c>
      <c r="B12" s="19">
        <v>90.0</v>
      </c>
      <c r="C12" s="21" t="s">
        <v>71</v>
      </c>
      <c r="E12" s="21" t="s">
        <v>41</v>
      </c>
      <c r="F12" s="19">
        <v>90.0</v>
      </c>
      <c r="G12" s="21" t="s">
        <v>71</v>
      </c>
      <c r="I12" s="11">
        <v>10.0</v>
      </c>
      <c r="J12" s="16" t="s">
        <v>356</v>
      </c>
      <c r="K12" s="16" t="s">
        <v>20</v>
      </c>
    </row>
    <row r="13" ht="14.25" customHeight="1">
      <c r="A13" s="19" t="s">
        <v>28</v>
      </c>
      <c r="B13" s="19">
        <v>80.0</v>
      </c>
      <c r="C13" s="21" t="s">
        <v>99</v>
      </c>
      <c r="E13" s="21" t="s">
        <v>431</v>
      </c>
      <c r="F13" s="19">
        <v>20.0</v>
      </c>
      <c r="G13" s="21" t="s">
        <v>432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404</v>
      </c>
      <c r="E14" s="47"/>
      <c r="I14" s="11">
        <v>12.0</v>
      </c>
      <c r="J14" s="11" t="s">
        <v>42</v>
      </c>
      <c r="K14" s="16" t="s">
        <v>20</v>
      </c>
    </row>
    <row r="15" ht="14.25" customHeight="1">
      <c r="A15" s="21" t="s">
        <v>365</v>
      </c>
      <c r="B15" s="19">
        <v>20.0</v>
      </c>
      <c r="C15" s="21" t="s">
        <v>429</v>
      </c>
      <c r="D15" s="39"/>
      <c r="E15" s="47"/>
      <c r="I15" s="11">
        <v>13.0</v>
      </c>
      <c r="J15" s="11" t="s">
        <v>74</v>
      </c>
      <c r="K15" s="16" t="s">
        <v>20</v>
      </c>
    </row>
    <row r="16" ht="14.25" customHeight="1">
      <c r="A16" s="21" t="s">
        <v>53</v>
      </c>
      <c r="B16" s="19">
        <v>90.0</v>
      </c>
      <c r="C16" s="21" t="s">
        <v>71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208</v>
      </c>
      <c r="B17" s="19">
        <v>90.0</v>
      </c>
      <c r="C17" s="21" t="s">
        <v>71</v>
      </c>
    </row>
    <row r="18" ht="14.25" customHeight="1">
      <c r="A18" s="21" t="s">
        <v>293</v>
      </c>
      <c r="B18" s="19">
        <v>90.0</v>
      </c>
      <c r="C18" s="21" t="s">
        <v>71</v>
      </c>
    </row>
    <row r="19" ht="14.25" customHeight="1">
      <c r="A19" s="45" t="s">
        <v>365</v>
      </c>
      <c r="B19" s="19">
        <v>20.0</v>
      </c>
      <c r="C19" s="21" t="s">
        <v>433</v>
      </c>
      <c r="E19" s="11" t="s">
        <v>46</v>
      </c>
      <c r="F19" s="12">
        <f>SUM(F3:F11)</f>
        <v>500</v>
      </c>
    </row>
    <row r="20" ht="14.25" customHeight="1">
      <c r="A20" s="21" t="s">
        <v>65</v>
      </c>
      <c r="B20" s="19">
        <v>-60.0</v>
      </c>
      <c r="C20" s="21" t="s">
        <v>434</v>
      </c>
    </row>
    <row r="21" ht="14.25" customHeight="1">
      <c r="A21" s="21" t="s">
        <v>435</v>
      </c>
      <c r="B21" s="19">
        <v>20.0</v>
      </c>
      <c r="C21" s="21" t="s">
        <v>433</v>
      </c>
    </row>
    <row r="22" ht="14.25" customHeight="1">
      <c r="A22" s="21" t="s">
        <v>74</v>
      </c>
      <c r="B22" s="19">
        <v>90.0</v>
      </c>
      <c r="C22" s="21" t="s">
        <v>71</v>
      </c>
    </row>
    <row r="23" ht="14.25" customHeight="1">
      <c r="A23" s="21" t="s">
        <v>435</v>
      </c>
      <c r="B23" s="19">
        <v>20.0</v>
      </c>
      <c r="C23" s="21" t="s">
        <v>432</v>
      </c>
    </row>
    <row r="24" ht="14.25" customHeight="1">
      <c r="A24" s="21"/>
      <c r="B24" s="19"/>
      <c r="C24" s="20"/>
    </row>
    <row r="25" ht="14.25" customHeight="1">
      <c r="A25" s="21"/>
      <c r="B25" s="19"/>
      <c r="C25" s="20"/>
    </row>
    <row r="26" ht="14.25" customHeight="1">
      <c r="A26" s="21"/>
      <c r="B26" s="19"/>
      <c r="C26" s="21"/>
    </row>
    <row r="27" ht="14.25" customHeight="1">
      <c r="A27" s="21"/>
      <c r="B27" s="18"/>
      <c r="C27" s="21"/>
    </row>
    <row r="28" ht="14.25" customHeight="1">
      <c r="A28" s="21"/>
      <c r="B28" s="19"/>
      <c r="C28" s="21"/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16"/>
    </row>
    <row r="32" ht="14.25" customHeight="1">
      <c r="A32" s="21"/>
      <c r="B32" s="63"/>
      <c r="C32" s="16"/>
    </row>
    <row r="33" ht="14.25" customHeight="1">
      <c r="A33" s="21"/>
      <c r="B33" s="19"/>
      <c r="C33" s="21"/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926.47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14"/>
    <col customWidth="1" min="8" max="8" width="6.43"/>
    <col customWidth="1" min="9" max="9" width="15.71"/>
    <col customWidth="1" min="10" max="10" width="16.71"/>
    <col customWidth="1" min="11" max="11" width="11.71"/>
    <col customWidth="1" min="12" max="26" width="8.71"/>
  </cols>
  <sheetData>
    <row r="1" ht="14.25" customHeight="1">
      <c r="A1" s="1" t="s">
        <v>436</v>
      </c>
      <c r="B1" s="2"/>
      <c r="C1" s="3"/>
      <c r="E1" s="4" t="s">
        <v>1</v>
      </c>
      <c r="F1" s="2"/>
      <c r="G1" s="3"/>
      <c r="I1" s="1" t="s">
        <v>15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95">
        <v>926.47</v>
      </c>
      <c r="C3" s="14" t="s">
        <v>438</v>
      </c>
      <c r="E3" s="21" t="s">
        <v>37</v>
      </c>
      <c r="F3" s="19">
        <v>20.0</v>
      </c>
      <c r="G3" s="21" t="s">
        <v>277</v>
      </c>
      <c r="I3" s="11">
        <v>1.0</v>
      </c>
      <c r="J3" s="11" t="s">
        <v>19</v>
      </c>
      <c r="K3" s="16"/>
    </row>
    <row r="4" ht="14.25" customHeight="1">
      <c r="A4" s="21" t="s">
        <v>356</v>
      </c>
      <c r="B4" s="19">
        <v>90.0</v>
      </c>
      <c r="C4" s="21" t="s">
        <v>57</v>
      </c>
      <c r="E4" s="21" t="s">
        <v>131</v>
      </c>
      <c r="F4" s="19">
        <v>120.0</v>
      </c>
      <c r="G4" s="21" t="s">
        <v>425</v>
      </c>
      <c r="I4" s="11">
        <v>2.0</v>
      </c>
      <c r="J4" s="11" t="s">
        <v>26</v>
      </c>
      <c r="K4" s="16"/>
    </row>
    <row r="5" ht="14.25" customHeight="1">
      <c r="A5" s="21" t="s">
        <v>290</v>
      </c>
      <c r="B5" s="19">
        <v>40.0</v>
      </c>
      <c r="C5" s="21" t="s">
        <v>428</v>
      </c>
      <c r="E5" s="21" t="s">
        <v>290</v>
      </c>
      <c r="F5" s="19">
        <v>60.0</v>
      </c>
      <c r="G5" s="21" t="s">
        <v>443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41</v>
      </c>
      <c r="B6" s="19">
        <v>180.0</v>
      </c>
      <c r="C6" s="21" t="s">
        <v>445</v>
      </c>
      <c r="E6" s="21" t="s">
        <v>209</v>
      </c>
      <c r="F6" s="19">
        <v>20.0</v>
      </c>
      <c r="G6" s="21" t="s">
        <v>429</v>
      </c>
      <c r="I6" s="11">
        <v>4.0</v>
      </c>
      <c r="J6" s="16" t="s">
        <v>183</v>
      </c>
      <c r="K6" s="16"/>
    </row>
    <row r="7" ht="14.25" customHeight="1">
      <c r="A7" s="21" t="s">
        <v>121</v>
      </c>
      <c r="B7" s="19">
        <v>20.0</v>
      </c>
      <c r="C7" s="21" t="s">
        <v>427</v>
      </c>
      <c r="E7" s="21" t="s">
        <v>26</v>
      </c>
      <c r="F7" s="19">
        <v>180.0</v>
      </c>
      <c r="G7" s="21" t="s">
        <v>445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221</v>
      </c>
      <c r="B8" s="19">
        <v>20.0</v>
      </c>
      <c r="C8" s="21" t="s">
        <v>427</v>
      </c>
      <c r="E8" s="21" t="s">
        <v>365</v>
      </c>
      <c r="F8" s="19">
        <v>20.0</v>
      </c>
      <c r="G8" s="21" t="s">
        <v>449</v>
      </c>
      <c r="I8" s="11">
        <v>6.0</v>
      </c>
      <c r="J8" s="16" t="s">
        <v>293</v>
      </c>
      <c r="K8" s="16"/>
    </row>
    <row r="9" ht="14.25" customHeight="1">
      <c r="A9" s="21" t="s">
        <v>65</v>
      </c>
      <c r="B9" s="19">
        <v>-30.0</v>
      </c>
      <c r="C9" s="21" t="s">
        <v>450</v>
      </c>
      <c r="E9" s="21" t="s">
        <v>17</v>
      </c>
      <c r="F9" s="19">
        <v>90.0</v>
      </c>
      <c r="G9" s="21" t="s">
        <v>57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126</v>
      </c>
      <c r="B10" s="19">
        <v>20.0</v>
      </c>
      <c r="C10" s="21" t="s">
        <v>453</v>
      </c>
      <c r="E10" s="21" t="s">
        <v>293</v>
      </c>
      <c r="F10" s="19">
        <v>90.0</v>
      </c>
      <c r="G10" s="21" t="s">
        <v>57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39</v>
      </c>
      <c r="B11" s="19">
        <v>90.0</v>
      </c>
      <c r="C11" s="21" t="s">
        <v>57</v>
      </c>
      <c r="E11" s="21" t="s">
        <v>74</v>
      </c>
      <c r="F11" s="19">
        <v>90.0</v>
      </c>
      <c r="G11" s="21" t="s">
        <v>57</v>
      </c>
      <c r="I11" s="11">
        <v>9.0</v>
      </c>
      <c r="J11" s="29" t="s">
        <v>41</v>
      </c>
      <c r="K11" s="16" t="s">
        <v>20</v>
      </c>
    </row>
    <row r="12" ht="14.25" customHeight="1">
      <c r="A12" s="21" t="s">
        <v>65</v>
      </c>
      <c r="B12" s="19">
        <v>-30.0</v>
      </c>
      <c r="C12" s="21" t="s">
        <v>453</v>
      </c>
      <c r="E12" s="21" t="s">
        <v>56</v>
      </c>
      <c r="F12" s="19">
        <v>20.0</v>
      </c>
      <c r="G12" s="21" t="s">
        <v>448</v>
      </c>
      <c r="I12" s="11">
        <v>10.0</v>
      </c>
      <c r="J12" s="16" t="s">
        <v>356</v>
      </c>
      <c r="K12" s="16" t="s">
        <v>20</v>
      </c>
    </row>
    <row r="13" ht="14.25" customHeight="1">
      <c r="A13" s="19" t="s">
        <v>364</v>
      </c>
      <c r="B13" s="19">
        <v>-35.0</v>
      </c>
      <c r="C13" s="21" t="s">
        <v>105</v>
      </c>
      <c r="E13" s="21" t="s">
        <v>447</v>
      </c>
      <c r="F13" s="19">
        <v>20.0</v>
      </c>
      <c r="G13" s="21" t="s">
        <v>448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458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365</v>
      </c>
      <c r="B15" s="19">
        <v>20.0</v>
      </c>
      <c r="C15" s="21" t="s">
        <v>453</v>
      </c>
      <c r="D15" s="39"/>
      <c r="E15" s="11" t="s">
        <v>46</v>
      </c>
      <c r="F15" s="12">
        <f>SUM(F3:F11)</f>
        <v>690</v>
      </c>
      <c r="I15" s="11">
        <v>13.0</v>
      </c>
      <c r="J15" s="11" t="s">
        <v>74</v>
      </c>
      <c r="K15" s="16"/>
    </row>
    <row r="16" ht="14.25" customHeight="1">
      <c r="A16" s="21" t="s">
        <v>60</v>
      </c>
      <c r="B16" s="19">
        <v>90.0</v>
      </c>
      <c r="C16" s="21" t="s">
        <v>57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116</v>
      </c>
      <c r="B17" s="19">
        <v>90.0</v>
      </c>
      <c r="C17" s="21" t="s">
        <v>57</v>
      </c>
    </row>
    <row r="18" ht="14.25" customHeight="1">
      <c r="A18" s="21" t="s">
        <v>53</v>
      </c>
      <c r="B18" s="19">
        <v>90.0</v>
      </c>
      <c r="C18" s="21" t="s">
        <v>57</v>
      </c>
    </row>
    <row r="19" ht="14.25" customHeight="1">
      <c r="A19" s="45" t="s">
        <v>97</v>
      </c>
      <c r="B19" s="19">
        <v>90.0</v>
      </c>
      <c r="C19" s="21" t="s">
        <v>57</v>
      </c>
    </row>
    <row r="20" ht="14.25" customHeight="1">
      <c r="A20" s="21" t="s">
        <v>17</v>
      </c>
      <c r="B20" s="19">
        <v>50.0</v>
      </c>
      <c r="C20" s="21" t="s">
        <v>71</v>
      </c>
    </row>
    <row r="21" ht="14.25" customHeight="1">
      <c r="A21" s="21" t="s">
        <v>33</v>
      </c>
      <c r="B21" s="19">
        <v>90.0</v>
      </c>
      <c r="C21" s="21" t="s">
        <v>57</v>
      </c>
    </row>
    <row r="22" ht="14.25" customHeight="1">
      <c r="A22" s="21" t="s">
        <v>60</v>
      </c>
      <c r="B22" s="19">
        <v>-100.0</v>
      </c>
      <c r="C22" s="21" t="s">
        <v>364</v>
      </c>
    </row>
    <row r="23" ht="14.25" customHeight="1">
      <c r="A23" s="21" t="s">
        <v>365</v>
      </c>
      <c r="B23" s="19">
        <v>20.0</v>
      </c>
      <c r="C23" s="21" t="s">
        <v>463</v>
      </c>
    </row>
    <row r="24" ht="14.25" customHeight="1">
      <c r="A24" s="21" t="s">
        <v>126</v>
      </c>
      <c r="B24" s="19">
        <v>40.0</v>
      </c>
      <c r="C24" s="21" t="s">
        <v>464</v>
      </c>
    </row>
    <row r="25" ht="14.25" customHeight="1">
      <c r="A25" s="21" t="s">
        <v>451</v>
      </c>
      <c r="B25" s="19">
        <v>20.0</v>
      </c>
      <c r="C25" s="21" t="s">
        <v>463</v>
      </c>
    </row>
    <row r="26" ht="14.25" customHeight="1">
      <c r="A26" s="21" t="s">
        <v>208</v>
      </c>
      <c r="B26" s="19">
        <v>90.0</v>
      </c>
      <c r="C26" s="21" t="s">
        <v>57</v>
      </c>
    </row>
    <row r="27" ht="14.25" customHeight="1">
      <c r="A27" s="21" t="s">
        <v>243</v>
      </c>
      <c r="B27" s="19">
        <v>20.0</v>
      </c>
      <c r="C27" s="21" t="s">
        <v>463</v>
      </c>
    </row>
    <row r="28" ht="14.25" customHeight="1">
      <c r="A28" s="21" t="s">
        <v>93</v>
      </c>
      <c r="B28" s="19">
        <v>20.0</v>
      </c>
      <c r="C28" s="21" t="s">
        <v>448</v>
      </c>
    </row>
    <row r="29" ht="14.25" customHeight="1">
      <c r="A29" s="21" t="s">
        <v>431</v>
      </c>
      <c r="B29" s="19">
        <v>40.0</v>
      </c>
      <c r="C29" s="21" t="s">
        <v>467</v>
      </c>
    </row>
    <row r="30" ht="14.25" customHeight="1">
      <c r="A30" s="21" t="s">
        <v>126</v>
      </c>
      <c r="B30" s="19">
        <v>20.0</v>
      </c>
      <c r="C30" s="21" t="s">
        <v>448</v>
      </c>
    </row>
    <row r="31" ht="14.25" customHeight="1">
      <c r="A31" s="21" t="s">
        <v>56</v>
      </c>
      <c r="B31" s="19">
        <v>-60.0</v>
      </c>
      <c r="C31" s="16" t="s">
        <v>468</v>
      </c>
    </row>
    <row r="32" ht="14.25" customHeight="1">
      <c r="A32" s="21" t="s">
        <v>65</v>
      </c>
      <c r="B32" s="63">
        <v>-30.0</v>
      </c>
      <c r="C32" s="21" t="s">
        <v>448</v>
      </c>
    </row>
    <row r="33" ht="14.25" customHeight="1">
      <c r="A33" s="21"/>
      <c r="B33" s="19"/>
      <c r="C33" s="21"/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941.47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53.86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437</v>
      </c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95">
        <v>941.47</v>
      </c>
      <c r="C3" s="14" t="s">
        <v>439</v>
      </c>
      <c r="E3" s="21" t="s">
        <v>37</v>
      </c>
      <c r="F3" s="19">
        <v>40.0</v>
      </c>
      <c r="G3" s="21" t="s">
        <v>440</v>
      </c>
      <c r="I3" s="11">
        <v>1.0</v>
      </c>
      <c r="J3" s="11" t="s">
        <v>19</v>
      </c>
      <c r="K3" s="16"/>
    </row>
    <row r="4" ht="14.25" customHeight="1">
      <c r="A4" s="21" t="s">
        <v>441</v>
      </c>
      <c r="B4" s="19">
        <v>90.0</v>
      </c>
      <c r="C4" s="21" t="s">
        <v>161</v>
      </c>
      <c r="E4" s="21" t="s">
        <v>131</v>
      </c>
      <c r="F4" s="19">
        <v>140.0</v>
      </c>
      <c r="G4" s="21" t="s">
        <v>442</v>
      </c>
      <c r="I4" s="11">
        <v>2.0</v>
      </c>
      <c r="J4" s="11" t="s">
        <v>26</v>
      </c>
      <c r="K4" s="16"/>
    </row>
    <row r="5" ht="14.25" customHeight="1">
      <c r="A5" s="21" t="s">
        <v>116</v>
      </c>
      <c r="B5" s="19">
        <v>90.0</v>
      </c>
      <c r="C5" s="21" t="s">
        <v>161</v>
      </c>
      <c r="E5" s="21" t="s">
        <v>209</v>
      </c>
      <c r="F5" s="19">
        <v>20.0</v>
      </c>
      <c r="G5" s="21" t="s">
        <v>429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365</v>
      </c>
      <c r="B6" s="19">
        <v>40.0</v>
      </c>
      <c r="C6" s="21" t="s">
        <v>444</v>
      </c>
      <c r="E6" s="21" t="s">
        <v>17</v>
      </c>
      <c r="F6" s="19">
        <v>50.0</v>
      </c>
      <c r="G6" s="21" t="s">
        <v>57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293</v>
      </c>
      <c r="B7" s="19">
        <v>90.0</v>
      </c>
      <c r="C7" s="21" t="s">
        <v>57</v>
      </c>
      <c r="E7" s="21" t="s">
        <v>56</v>
      </c>
      <c r="F7" s="19">
        <v>40.0</v>
      </c>
      <c r="G7" s="21" t="s">
        <v>446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96</v>
      </c>
      <c r="B8" s="19">
        <v>90.0</v>
      </c>
      <c r="C8" s="21" t="s">
        <v>161</v>
      </c>
      <c r="E8" s="21" t="s">
        <v>447</v>
      </c>
      <c r="F8" s="19">
        <v>20.0</v>
      </c>
      <c r="G8" s="21" t="s">
        <v>448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60</v>
      </c>
      <c r="B9" s="19">
        <v>90.0</v>
      </c>
      <c r="C9" s="21" t="s">
        <v>161</v>
      </c>
      <c r="E9" s="21" t="s">
        <v>451</v>
      </c>
      <c r="F9" s="19">
        <v>20.0</v>
      </c>
      <c r="G9" s="21" t="s">
        <v>452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39</v>
      </c>
      <c r="B10" s="19">
        <v>90.0</v>
      </c>
      <c r="C10" s="21" t="s">
        <v>161</v>
      </c>
      <c r="E10" s="21" t="s">
        <v>28</v>
      </c>
      <c r="F10" s="19">
        <v>20.0</v>
      </c>
      <c r="G10" s="21" t="s">
        <v>454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26</v>
      </c>
      <c r="B11" s="19">
        <v>180.0</v>
      </c>
      <c r="C11" s="21" t="s">
        <v>445</v>
      </c>
      <c r="E11" s="21" t="s">
        <v>290</v>
      </c>
      <c r="F11" s="19">
        <v>20.0</v>
      </c>
      <c r="G11" s="21" t="s">
        <v>454</v>
      </c>
      <c r="I11" s="11">
        <v>9.0</v>
      </c>
      <c r="J11" s="29" t="s">
        <v>41</v>
      </c>
      <c r="K11" s="16" t="s">
        <v>455</v>
      </c>
    </row>
    <row r="12" ht="14.25" customHeight="1">
      <c r="A12" s="21" t="s">
        <v>58</v>
      </c>
      <c r="B12" s="19">
        <v>90.0</v>
      </c>
      <c r="C12" s="21" t="s">
        <v>161</v>
      </c>
      <c r="E12" s="21" t="s">
        <v>26</v>
      </c>
      <c r="F12" s="19">
        <v>90.0</v>
      </c>
      <c r="G12" s="21" t="s">
        <v>161</v>
      </c>
      <c r="I12" s="11">
        <v>10.0</v>
      </c>
      <c r="J12" s="16" t="s">
        <v>356</v>
      </c>
      <c r="K12" s="16" t="s">
        <v>20</v>
      </c>
    </row>
    <row r="13" ht="14.25" customHeight="1">
      <c r="A13" s="19" t="s">
        <v>126</v>
      </c>
      <c r="B13" s="19">
        <v>40.0</v>
      </c>
      <c r="C13" s="21" t="s">
        <v>456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457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290</v>
      </c>
      <c r="B15" s="19">
        <v>80.0</v>
      </c>
      <c r="C15" s="21" t="s">
        <v>459</v>
      </c>
      <c r="D15" s="39"/>
      <c r="I15" s="11">
        <v>13.0</v>
      </c>
      <c r="J15" s="11" t="s">
        <v>74</v>
      </c>
      <c r="K15" s="16" t="s">
        <v>20</v>
      </c>
    </row>
    <row r="16" ht="14.25" customHeight="1">
      <c r="A16" s="21" t="s">
        <v>97</v>
      </c>
      <c r="B16" s="19">
        <v>90.0</v>
      </c>
      <c r="C16" s="21" t="s">
        <v>161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208</v>
      </c>
      <c r="B17" s="19">
        <v>90.0</v>
      </c>
      <c r="C17" s="21" t="s">
        <v>161</v>
      </c>
    </row>
    <row r="18" ht="14.25" customHeight="1">
      <c r="A18" s="21" t="s">
        <v>293</v>
      </c>
      <c r="B18" s="19">
        <v>90.0</v>
      </c>
      <c r="C18" s="21" t="s">
        <v>161</v>
      </c>
      <c r="E18" s="11" t="s">
        <v>46</v>
      </c>
      <c r="F18" s="12">
        <f>SUM(F3:F14)</f>
        <v>460</v>
      </c>
    </row>
    <row r="19" ht="14.25" customHeight="1">
      <c r="A19" s="45" t="s">
        <v>65</v>
      </c>
      <c r="B19" s="19">
        <v>-60.0</v>
      </c>
      <c r="C19" s="21" t="s">
        <v>460</v>
      </c>
    </row>
    <row r="20" ht="14.25" customHeight="1">
      <c r="A20" s="21" t="s">
        <v>116</v>
      </c>
      <c r="B20" s="19">
        <v>-30.0</v>
      </c>
      <c r="C20" s="21" t="s">
        <v>454</v>
      </c>
    </row>
    <row r="21" ht="14.25" customHeight="1">
      <c r="A21" s="21" t="s">
        <v>348</v>
      </c>
      <c r="B21" s="19">
        <v>20.0</v>
      </c>
      <c r="C21" s="21" t="s">
        <v>454</v>
      </c>
    </row>
    <row r="22" ht="14.25" customHeight="1">
      <c r="A22" s="21" t="s">
        <v>461</v>
      </c>
      <c r="B22" s="19">
        <v>20.0</v>
      </c>
      <c r="C22" s="21" t="s">
        <v>454</v>
      </c>
    </row>
    <row r="23" ht="14.25" customHeight="1">
      <c r="A23" s="21" t="s">
        <v>462</v>
      </c>
      <c r="B23" s="19">
        <v>20.0</v>
      </c>
      <c r="C23" s="21" t="s">
        <v>454</v>
      </c>
    </row>
    <row r="24" ht="14.25" customHeight="1">
      <c r="A24" s="21" t="s">
        <v>213</v>
      </c>
      <c r="B24" s="19">
        <v>20.0</v>
      </c>
      <c r="C24" s="21" t="s">
        <v>454</v>
      </c>
    </row>
    <row r="25" ht="14.25" customHeight="1">
      <c r="A25" s="21" t="s">
        <v>365</v>
      </c>
      <c r="B25" s="19">
        <v>70.0</v>
      </c>
      <c r="C25" s="21" t="s">
        <v>161</v>
      </c>
    </row>
    <row r="26" ht="14.25" customHeight="1">
      <c r="A26" s="21" t="s">
        <v>74</v>
      </c>
      <c r="B26" s="19">
        <v>180.0</v>
      </c>
      <c r="C26" s="21" t="s">
        <v>465</v>
      </c>
    </row>
    <row r="27" ht="14.25" customHeight="1">
      <c r="A27" s="21" t="s">
        <v>223</v>
      </c>
      <c r="B27" s="19">
        <v>20.0</v>
      </c>
      <c r="C27" s="21" t="s">
        <v>466</v>
      </c>
    </row>
    <row r="28" ht="14.25" customHeight="1">
      <c r="A28" s="21"/>
      <c r="B28" s="19"/>
      <c r="C28" s="21"/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16"/>
    </row>
    <row r="32" ht="14.25" customHeight="1">
      <c r="A32" s="21"/>
      <c r="B32" s="63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1491.47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52.43"/>
    <col customWidth="1" min="4" max="4" width="5.0"/>
    <col customWidth="1" min="5" max="5" width="24.29"/>
    <col customWidth="1" min="6" max="6" width="11.86"/>
    <col customWidth="1" min="7" max="7" width="61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469</v>
      </c>
      <c r="B1" s="2"/>
      <c r="C1" s="3"/>
      <c r="E1" s="4" t="s">
        <v>1</v>
      </c>
      <c r="F1" s="2"/>
      <c r="G1" s="3"/>
      <c r="I1" s="1" t="s">
        <v>169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1491.47</v>
      </c>
      <c r="C3" s="14" t="s">
        <v>439</v>
      </c>
      <c r="E3" s="21" t="s">
        <v>131</v>
      </c>
      <c r="F3" s="19">
        <v>160.0</v>
      </c>
      <c r="G3" s="21" t="s">
        <v>470</v>
      </c>
      <c r="I3" s="11">
        <v>1.0</v>
      </c>
      <c r="J3" s="11" t="s">
        <v>19</v>
      </c>
      <c r="K3" s="16"/>
    </row>
    <row r="4" ht="14.25" customHeight="1">
      <c r="A4" s="21" t="s">
        <v>356</v>
      </c>
      <c r="B4" s="19">
        <v>90.0</v>
      </c>
      <c r="C4" s="21" t="s">
        <v>188</v>
      </c>
      <c r="E4" s="21" t="s">
        <v>17</v>
      </c>
      <c r="F4" s="19">
        <v>50.0</v>
      </c>
      <c r="G4" s="21" t="s">
        <v>57</v>
      </c>
      <c r="I4" s="11">
        <v>2.0</v>
      </c>
      <c r="J4" s="11" t="s">
        <v>26</v>
      </c>
      <c r="K4" s="16"/>
    </row>
    <row r="5" ht="14.25" customHeight="1">
      <c r="A5" s="21" t="s">
        <v>116</v>
      </c>
      <c r="B5" s="19">
        <v>90.0</v>
      </c>
      <c r="C5" s="21" t="s">
        <v>188</v>
      </c>
      <c r="E5" s="21" t="s">
        <v>56</v>
      </c>
      <c r="F5" s="19">
        <f>40-30</f>
        <v>10</v>
      </c>
      <c r="G5" s="21" t="s">
        <v>471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53</v>
      </c>
      <c r="B6" s="19">
        <v>90.0</v>
      </c>
      <c r="C6" s="21" t="s">
        <v>188</v>
      </c>
      <c r="E6" s="21" t="s">
        <v>447</v>
      </c>
      <c r="F6" s="19">
        <v>20.0</v>
      </c>
      <c r="G6" s="21" t="s">
        <v>448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39</v>
      </c>
      <c r="B7" s="19">
        <v>90.0</v>
      </c>
      <c r="C7" s="21" t="s">
        <v>188</v>
      </c>
      <c r="E7" s="21" t="s">
        <v>451</v>
      </c>
      <c r="F7" s="19">
        <v>20.0</v>
      </c>
      <c r="G7" s="21" t="s">
        <v>452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60</v>
      </c>
      <c r="B8" s="19">
        <v>90.0</v>
      </c>
      <c r="C8" s="21" t="s">
        <v>188</v>
      </c>
      <c r="E8" s="21" t="s">
        <v>28</v>
      </c>
      <c r="F8" s="19">
        <v>20.0</v>
      </c>
      <c r="G8" s="21" t="s">
        <v>454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33</v>
      </c>
      <c r="B9" s="19">
        <v>90.0</v>
      </c>
      <c r="C9" s="21" t="s">
        <v>188</v>
      </c>
      <c r="E9" s="21" t="s">
        <v>290</v>
      </c>
      <c r="F9" s="19">
        <v>40.0</v>
      </c>
      <c r="G9" s="21" t="s">
        <v>472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26</v>
      </c>
      <c r="B10" s="19">
        <v>90.0</v>
      </c>
      <c r="C10" s="21" t="s">
        <v>161</v>
      </c>
      <c r="E10" s="21" t="s">
        <v>26</v>
      </c>
      <c r="F10" s="19">
        <v>90.0</v>
      </c>
      <c r="G10" s="21" t="s">
        <v>188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37</v>
      </c>
      <c r="B11" s="19">
        <v>60.0</v>
      </c>
      <c r="C11" s="21" t="s">
        <v>473</v>
      </c>
      <c r="E11" s="21" t="s">
        <v>41</v>
      </c>
      <c r="F11" s="19">
        <v>90.0</v>
      </c>
      <c r="G11" s="21" t="s">
        <v>188</v>
      </c>
      <c r="I11" s="11">
        <v>9.0</v>
      </c>
      <c r="J11" s="29" t="s">
        <v>41</v>
      </c>
      <c r="K11" s="16"/>
    </row>
    <row r="12" ht="14.25" customHeight="1">
      <c r="A12" s="21" t="s">
        <v>97</v>
      </c>
      <c r="B12" s="19">
        <v>90.0</v>
      </c>
      <c r="C12" s="21" t="s">
        <v>188</v>
      </c>
      <c r="E12" s="21" t="s">
        <v>74</v>
      </c>
      <c r="F12" s="19">
        <v>90.0</v>
      </c>
      <c r="G12" s="21" t="s">
        <v>188</v>
      </c>
      <c r="I12" s="11">
        <v>10.0</v>
      </c>
      <c r="J12" s="16" t="s">
        <v>356</v>
      </c>
      <c r="K12" s="16" t="s">
        <v>20</v>
      </c>
    </row>
    <row r="13" ht="14.25" customHeight="1">
      <c r="A13" s="19" t="s">
        <v>474</v>
      </c>
      <c r="B13" s="19">
        <v>90.0</v>
      </c>
      <c r="C13" s="21" t="s">
        <v>188</v>
      </c>
      <c r="E13" s="21" t="s">
        <v>37</v>
      </c>
      <c r="F13" s="19">
        <v>40.0</v>
      </c>
      <c r="G13" s="21" t="s">
        <v>475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476</v>
      </c>
      <c r="E14" s="21" t="s">
        <v>126</v>
      </c>
      <c r="F14" s="19">
        <v>20.0</v>
      </c>
      <c r="G14" s="21" t="s">
        <v>477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478</v>
      </c>
      <c r="B15" s="19">
        <v>-55.0</v>
      </c>
      <c r="C15" s="21" t="s">
        <v>479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116</v>
      </c>
      <c r="B16" s="19">
        <v>-30.0</v>
      </c>
      <c r="C16" s="21" t="s">
        <v>480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481</v>
      </c>
      <c r="B17" s="19">
        <v>-245.0</v>
      </c>
      <c r="C17" s="21" t="s">
        <v>482</v>
      </c>
      <c r="E17" s="11" t="s">
        <v>46</v>
      </c>
      <c r="F17" s="12">
        <f>SUM(F3:F13)</f>
        <v>630</v>
      </c>
    </row>
    <row r="18" ht="14.25" customHeight="1">
      <c r="A18" s="21" t="s">
        <v>126</v>
      </c>
      <c r="B18" s="19">
        <v>20.0</v>
      </c>
      <c r="C18" s="21" t="s">
        <v>483</v>
      </c>
    </row>
    <row r="19" ht="14.25" customHeight="1">
      <c r="A19" s="45" t="s">
        <v>484</v>
      </c>
      <c r="B19" s="19">
        <v>20.0</v>
      </c>
      <c r="C19" s="21" t="s">
        <v>483</v>
      </c>
    </row>
    <row r="20" ht="14.25" customHeight="1">
      <c r="A20" s="21" t="s">
        <v>485</v>
      </c>
      <c r="B20" s="19">
        <v>40.0</v>
      </c>
      <c r="C20" s="21" t="s">
        <v>483</v>
      </c>
    </row>
    <row r="21" ht="14.25" customHeight="1">
      <c r="A21" s="21" t="s">
        <v>486</v>
      </c>
      <c r="B21" s="19">
        <v>-30.0</v>
      </c>
      <c r="C21" s="21" t="s">
        <v>483</v>
      </c>
    </row>
    <row r="22" ht="14.25" customHeight="1">
      <c r="A22" s="21" t="s">
        <v>293</v>
      </c>
      <c r="B22" s="19">
        <v>90.0</v>
      </c>
      <c r="C22" s="21" t="s">
        <v>188</v>
      </c>
    </row>
    <row r="23" ht="14.25" customHeight="1">
      <c r="A23" s="21" t="s">
        <v>208</v>
      </c>
      <c r="B23" s="19">
        <v>90.0</v>
      </c>
      <c r="C23" s="21" t="s">
        <v>188</v>
      </c>
    </row>
    <row r="24" ht="14.25" customHeight="1">
      <c r="A24" s="21" t="s">
        <v>209</v>
      </c>
      <c r="B24" s="19">
        <v>20.0</v>
      </c>
      <c r="C24" s="21" t="s">
        <v>429</v>
      </c>
    </row>
    <row r="25" ht="14.25" customHeight="1">
      <c r="A25" s="21" t="s">
        <v>487</v>
      </c>
      <c r="B25" s="19">
        <v>-254.34</v>
      </c>
      <c r="C25" s="21" t="s">
        <v>488</v>
      </c>
    </row>
    <row r="26" ht="14.25" customHeight="1">
      <c r="A26" s="21" t="s">
        <v>489</v>
      </c>
      <c r="B26" s="19">
        <v>20.0</v>
      </c>
      <c r="C26" s="21" t="s">
        <v>483</v>
      </c>
    </row>
    <row r="27" ht="14.25" customHeight="1">
      <c r="A27" s="21" t="s">
        <v>435</v>
      </c>
      <c r="B27" s="19">
        <v>20.0</v>
      </c>
      <c r="C27" s="21" t="s">
        <v>490</v>
      </c>
    </row>
    <row r="28" ht="14.25" customHeight="1">
      <c r="A28" s="21" t="s">
        <v>213</v>
      </c>
      <c r="B28" s="19">
        <v>20.0</v>
      </c>
      <c r="C28" s="21" t="s">
        <v>477</v>
      </c>
    </row>
    <row r="29" ht="14.25" customHeight="1">
      <c r="A29" s="21" t="s">
        <v>116</v>
      </c>
      <c r="B29" s="19">
        <v>-30.0</v>
      </c>
      <c r="C29" s="21" t="s">
        <v>477</v>
      </c>
    </row>
    <row r="30" ht="14.25" customHeight="1">
      <c r="A30" s="21" t="s">
        <v>53</v>
      </c>
      <c r="B30" s="19">
        <v>-30.0</v>
      </c>
      <c r="C30" s="21" t="s">
        <v>491</v>
      </c>
    </row>
    <row r="31" ht="14.25" customHeight="1">
      <c r="A31" s="21"/>
      <c r="B31" s="19"/>
      <c r="C31" s="16"/>
    </row>
    <row r="32" ht="14.25" customHeight="1">
      <c r="A32" s="21"/>
      <c r="B32" s="63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1077.13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492</v>
      </c>
      <c r="B1" s="2"/>
      <c r="C1" s="3"/>
      <c r="E1" s="4" t="s">
        <v>1</v>
      </c>
      <c r="F1" s="2"/>
      <c r="G1" s="3"/>
      <c r="I1" s="1" t="s">
        <v>192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95">
        <v>1077.13</v>
      </c>
      <c r="C3" s="14" t="s">
        <v>493</v>
      </c>
      <c r="E3" s="21" t="s">
        <v>17</v>
      </c>
      <c r="F3" s="19">
        <v>50.0</v>
      </c>
      <c r="G3" s="21" t="s">
        <v>57</v>
      </c>
      <c r="I3" s="11">
        <v>1.0</v>
      </c>
      <c r="J3" s="11" t="s">
        <v>19</v>
      </c>
      <c r="K3" s="16"/>
    </row>
    <row r="4" ht="14.25" customHeight="1">
      <c r="A4" s="21" t="s">
        <v>41</v>
      </c>
      <c r="B4" s="19">
        <v>180.0</v>
      </c>
      <c r="C4" s="21" t="s">
        <v>494</v>
      </c>
      <c r="E4" s="21" t="s">
        <v>56</v>
      </c>
      <c r="F4" s="19">
        <v>30.0</v>
      </c>
      <c r="G4" s="21" t="s">
        <v>495</v>
      </c>
      <c r="I4" s="11">
        <v>2.0</v>
      </c>
      <c r="J4" s="11" t="s">
        <v>26</v>
      </c>
      <c r="K4" s="16"/>
    </row>
    <row r="5" ht="14.25" customHeight="1">
      <c r="A5" s="21" t="s">
        <v>65</v>
      </c>
      <c r="B5" s="19">
        <v>-30.0</v>
      </c>
      <c r="C5" s="21" t="s">
        <v>496</v>
      </c>
      <c r="E5" s="21" t="s">
        <v>447</v>
      </c>
      <c r="F5" s="19">
        <v>20.0</v>
      </c>
      <c r="G5" s="21" t="s">
        <v>448</v>
      </c>
      <c r="I5" s="11">
        <v>3.0</v>
      </c>
      <c r="J5" s="11" t="s">
        <v>33</v>
      </c>
      <c r="K5" s="16" t="s">
        <v>20</v>
      </c>
    </row>
    <row r="6" ht="14.25" customHeight="1">
      <c r="A6" s="21" t="s">
        <v>116</v>
      </c>
      <c r="B6" s="19">
        <v>-30.0</v>
      </c>
      <c r="C6" s="21" t="s">
        <v>496</v>
      </c>
      <c r="E6" s="21" t="s">
        <v>28</v>
      </c>
      <c r="F6" s="19">
        <v>20.0</v>
      </c>
      <c r="G6" s="21" t="s">
        <v>454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26</v>
      </c>
      <c r="B7" s="19">
        <v>90.0</v>
      </c>
      <c r="C7" s="21" t="s">
        <v>188</v>
      </c>
      <c r="E7" s="21" t="s">
        <v>290</v>
      </c>
      <c r="F7" s="19">
        <v>60.0</v>
      </c>
      <c r="G7" s="21" t="s">
        <v>497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498</v>
      </c>
      <c r="B8" s="19">
        <v>20.0</v>
      </c>
      <c r="C8" s="21" t="s">
        <v>496</v>
      </c>
      <c r="E8" s="21" t="s">
        <v>74</v>
      </c>
      <c r="F8" s="19">
        <v>180.0</v>
      </c>
      <c r="G8" s="21" t="s">
        <v>494</v>
      </c>
      <c r="I8" s="11">
        <v>6.0</v>
      </c>
      <c r="J8" s="16" t="s">
        <v>293</v>
      </c>
      <c r="K8" s="16"/>
    </row>
    <row r="9" ht="14.25" customHeight="1">
      <c r="A9" s="21" t="s">
        <v>213</v>
      </c>
      <c r="B9" s="19">
        <v>20.0</v>
      </c>
      <c r="C9" s="21" t="s">
        <v>496</v>
      </c>
      <c r="E9" s="21" t="s">
        <v>37</v>
      </c>
      <c r="F9" s="19">
        <v>100.0</v>
      </c>
      <c r="G9" s="21" t="s">
        <v>499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53</v>
      </c>
      <c r="B10" s="19">
        <v>90.0</v>
      </c>
      <c r="C10" s="21" t="s">
        <v>211</v>
      </c>
      <c r="E10" s="21" t="s">
        <v>126</v>
      </c>
      <c r="F10" s="19">
        <v>20.0</v>
      </c>
      <c r="G10" s="21" t="s">
        <v>477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39</v>
      </c>
      <c r="B11" s="19">
        <v>90.0</v>
      </c>
      <c r="C11" s="21" t="s">
        <v>211</v>
      </c>
      <c r="E11" s="21" t="s">
        <v>500</v>
      </c>
      <c r="F11" s="19">
        <v>20.0</v>
      </c>
      <c r="G11" s="21" t="s">
        <v>496</v>
      </c>
      <c r="I11" s="11">
        <v>9.0</v>
      </c>
      <c r="J11" s="29" t="s">
        <v>41</v>
      </c>
      <c r="K11" s="16" t="s">
        <v>20</v>
      </c>
    </row>
    <row r="12" ht="14.25" customHeight="1">
      <c r="A12" s="21" t="s">
        <v>356</v>
      </c>
      <c r="B12" s="19">
        <v>90.0</v>
      </c>
      <c r="C12" s="21" t="s">
        <v>211</v>
      </c>
      <c r="E12" s="21" t="s">
        <v>447</v>
      </c>
      <c r="F12" s="19">
        <v>20.0</v>
      </c>
      <c r="G12" s="21" t="s">
        <v>496</v>
      </c>
      <c r="I12" s="11">
        <v>10.0</v>
      </c>
      <c r="J12" s="16" t="s">
        <v>356</v>
      </c>
      <c r="K12" s="16" t="s">
        <v>20</v>
      </c>
    </row>
    <row r="13" ht="14.25" customHeight="1">
      <c r="A13" s="19" t="s">
        <v>33</v>
      </c>
      <c r="B13" s="19">
        <v>90.0</v>
      </c>
      <c r="C13" s="21" t="s">
        <v>211</v>
      </c>
      <c r="E13" s="21" t="s">
        <v>26</v>
      </c>
      <c r="F13" s="19">
        <v>90.0</v>
      </c>
      <c r="G13" s="21" t="s">
        <v>211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501</v>
      </c>
      <c r="E14" s="21" t="s">
        <v>293</v>
      </c>
      <c r="F14" s="19">
        <v>90.0</v>
      </c>
      <c r="G14" s="21" t="s">
        <v>211</v>
      </c>
      <c r="I14" s="11">
        <v>12.0</v>
      </c>
      <c r="J14" s="11" t="s">
        <v>42</v>
      </c>
      <c r="K14" s="16"/>
    </row>
    <row r="15" ht="14.25" customHeight="1">
      <c r="A15" s="21" t="s">
        <v>287</v>
      </c>
      <c r="B15" s="19">
        <v>20.0</v>
      </c>
      <c r="C15" s="21" t="s">
        <v>496</v>
      </c>
      <c r="D15" s="39"/>
      <c r="E15" s="21" t="s">
        <v>42</v>
      </c>
      <c r="F15" s="19">
        <v>90.0</v>
      </c>
      <c r="G15" s="21" t="s">
        <v>211</v>
      </c>
      <c r="I15" s="11">
        <v>13.0</v>
      </c>
      <c r="J15" s="11" t="s">
        <v>74</v>
      </c>
      <c r="K15" s="16"/>
    </row>
    <row r="16" ht="14.25" customHeight="1">
      <c r="A16" s="21" t="s">
        <v>502</v>
      </c>
      <c r="B16" s="19">
        <v>-174.15</v>
      </c>
      <c r="C16" s="21" t="s">
        <v>502</v>
      </c>
      <c r="E16" s="21" t="s">
        <v>503</v>
      </c>
      <c r="F16" s="19">
        <v>20.0</v>
      </c>
      <c r="G16" s="21" t="s">
        <v>504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64</v>
      </c>
      <c r="B17" s="19">
        <v>90.0</v>
      </c>
      <c r="C17" s="21" t="s">
        <v>211</v>
      </c>
    </row>
    <row r="18" ht="14.25" customHeight="1">
      <c r="A18" s="21" t="s">
        <v>60</v>
      </c>
      <c r="B18" s="19">
        <v>90.0</v>
      </c>
      <c r="C18" s="21" t="s">
        <v>211</v>
      </c>
      <c r="E18" s="11" t="s">
        <v>46</v>
      </c>
      <c r="F18" s="12">
        <f>SUM(F3:F15)</f>
        <v>790</v>
      </c>
    </row>
    <row r="19" ht="14.25" customHeight="1">
      <c r="A19" s="45" t="s">
        <v>396</v>
      </c>
      <c r="B19" s="19">
        <v>90.0</v>
      </c>
      <c r="C19" s="21" t="s">
        <v>211</v>
      </c>
    </row>
    <row r="20" ht="14.25" customHeight="1">
      <c r="A20" s="21" t="s">
        <v>261</v>
      </c>
      <c r="B20" s="19">
        <v>20.0</v>
      </c>
      <c r="C20" s="21" t="s">
        <v>496</v>
      </c>
    </row>
    <row r="21" ht="14.25" customHeight="1">
      <c r="A21" s="21" t="s">
        <v>116</v>
      </c>
      <c r="B21" s="19">
        <v>-30.0</v>
      </c>
      <c r="C21" s="21" t="s">
        <v>505</v>
      </c>
    </row>
    <row r="22" ht="14.25" customHeight="1">
      <c r="A22" s="21" t="s">
        <v>131</v>
      </c>
      <c r="B22" s="19">
        <v>180.0</v>
      </c>
      <c r="C22" s="21" t="s">
        <v>506</v>
      </c>
    </row>
    <row r="23" ht="14.25" customHeight="1">
      <c r="A23" s="45" t="s">
        <v>208</v>
      </c>
      <c r="B23" s="19">
        <v>90.0</v>
      </c>
      <c r="C23" s="21" t="s">
        <v>211</v>
      </c>
    </row>
    <row r="24" ht="14.25" customHeight="1">
      <c r="A24" s="21" t="s">
        <v>451</v>
      </c>
      <c r="B24" s="19">
        <v>20.0</v>
      </c>
      <c r="C24" s="21" t="s">
        <v>452</v>
      </c>
    </row>
    <row r="25" ht="14.25" customHeight="1">
      <c r="A25" s="21"/>
      <c r="B25" s="19"/>
      <c r="C25" s="21"/>
    </row>
    <row r="26" ht="14.25" customHeight="1">
      <c r="A26" s="21"/>
      <c r="B26" s="19"/>
      <c r="C26" s="21"/>
    </row>
    <row r="27" ht="14.25" customHeight="1">
      <c r="A27" s="21"/>
      <c r="B27" s="19"/>
      <c r="C27" s="21"/>
    </row>
    <row r="28" ht="14.25" customHeight="1">
      <c r="A28" s="21"/>
      <c r="B28" s="19"/>
      <c r="C28" s="21"/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16"/>
    </row>
    <row r="32" ht="14.25" customHeight="1">
      <c r="A32" s="21"/>
      <c r="B32" s="63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1132.98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507</v>
      </c>
      <c r="B1" s="2"/>
      <c r="C1" s="3"/>
      <c r="E1" s="4" t="s">
        <v>1</v>
      </c>
      <c r="F1" s="2"/>
      <c r="G1" s="3"/>
      <c r="I1" s="1" t="s">
        <v>272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1241.98</v>
      </c>
      <c r="C3" s="14" t="s">
        <v>508</v>
      </c>
      <c r="E3" s="21" t="s">
        <v>17</v>
      </c>
      <c r="F3" s="19">
        <v>90.0</v>
      </c>
      <c r="G3" s="21" t="s">
        <v>509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42</v>
      </c>
      <c r="B4" s="19">
        <v>90.0</v>
      </c>
      <c r="C4" s="21" t="s">
        <v>267</v>
      </c>
      <c r="E4" s="21" t="s">
        <v>56</v>
      </c>
      <c r="F4" s="19">
        <v>50.0</v>
      </c>
      <c r="G4" s="21" t="s">
        <v>510</v>
      </c>
      <c r="I4" s="11">
        <v>2.0</v>
      </c>
      <c r="J4" s="11" t="s">
        <v>26</v>
      </c>
      <c r="K4" s="16"/>
    </row>
    <row r="5" ht="14.25" customHeight="1">
      <c r="A5" s="21" t="s">
        <v>293</v>
      </c>
      <c r="B5" s="19">
        <v>90.0</v>
      </c>
      <c r="C5" s="21" t="s">
        <v>202</v>
      </c>
      <c r="E5" s="21" t="s">
        <v>447</v>
      </c>
      <c r="F5" s="19">
        <v>40.0</v>
      </c>
      <c r="G5" s="21" t="s">
        <v>511</v>
      </c>
      <c r="I5" s="11">
        <v>3.0</v>
      </c>
      <c r="J5" s="16" t="s">
        <v>37</v>
      </c>
      <c r="K5" s="16"/>
    </row>
    <row r="6" ht="14.25" customHeight="1">
      <c r="A6" s="21" t="s">
        <v>39</v>
      </c>
      <c r="B6" s="19">
        <v>90.0</v>
      </c>
      <c r="C6" s="21" t="s">
        <v>267</v>
      </c>
      <c r="E6" s="21" t="s">
        <v>28</v>
      </c>
      <c r="F6" s="19">
        <v>20.0</v>
      </c>
      <c r="G6" s="21" t="s">
        <v>454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356</v>
      </c>
      <c r="B7" s="19">
        <v>90.0</v>
      </c>
      <c r="C7" s="21" t="s">
        <v>267</v>
      </c>
      <c r="E7" s="21" t="s">
        <v>500</v>
      </c>
      <c r="F7" s="19">
        <v>20.0</v>
      </c>
      <c r="G7" s="21" t="s">
        <v>496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126</v>
      </c>
      <c r="B8" s="19">
        <v>20.0</v>
      </c>
      <c r="C8" s="21" t="s">
        <v>512</v>
      </c>
      <c r="E8" s="21" t="s">
        <v>26</v>
      </c>
      <c r="F8" s="19">
        <v>180.0</v>
      </c>
      <c r="G8" s="21" t="s">
        <v>513</v>
      </c>
      <c r="I8" s="11">
        <v>6.0</v>
      </c>
      <c r="J8" s="16" t="s">
        <v>293</v>
      </c>
      <c r="K8" s="16"/>
    </row>
    <row r="9" ht="14.25" customHeight="1">
      <c r="A9" s="21" t="s">
        <v>74</v>
      </c>
      <c r="B9" s="19">
        <v>90.0</v>
      </c>
      <c r="C9" s="21" t="s">
        <v>202</v>
      </c>
      <c r="E9" s="21" t="s">
        <v>37</v>
      </c>
      <c r="F9" s="19">
        <v>90.0</v>
      </c>
      <c r="G9" s="21" t="s">
        <v>267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514</v>
      </c>
      <c r="B10" s="19">
        <v>-145.0</v>
      </c>
      <c r="C10" s="21" t="s">
        <v>515</v>
      </c>
      <c r="E10" s="21" t="s">
        <v>293</v>
      </c>
      <c r="F10" s="19">
        <v>90.0</v>
      </c>
      <c r="G10" s="21" t="s">
        <v>267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41</v>
      </c>
      <c r="B11" s="19">
        <v>-200.0</v>
      </c>
      <c r="C11" s="21" t="s">
        <v>364</v>
      </c>
      <c r="E11" s="21" t="s">
        <v>516</v>
      </c>
      <c r="F11" s="19">
        <v>90.0</v>
      </c>
      <c r="G11" s="21" t="s">
        <v>267</v>
      </c>
      <c r="I11" s="11">
        <v>9.0</v>
      </c>
      <c r="J11" s="29" t="s">
        <v>269</v>
      </c>
      <c r="K11" s="16"/>
    </row>
    <row r="12" ht="14.25" customHeight="1">
      <c r="A12" s="21" t="s">
        <v>97</v>
      </c>
      <c r="B12" s="19">
        <v>90.0</v>
      </c>
      <c r="C12" s="21" t="s">
        <v>267</v>
      </c>
      <c r="E12" s="21" t="s">
        <v>261</v>
      </c>
      <c r="F12" s="19">
        <v>20.0</v>
      </c>
      <c r="G12" s="21" t="s">
        <v>517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37</v>
      </c>
      <c r="B13" s="19">
        <v>190.0</v>
      </c>
      <c r="C13" s="21" t="s">
        <v>519</v>
      </c>
      <c r="E13" s="21" t="s">
        <v>265</v>
      </c>
      <c r="F13" s="19">
        <v>60.0</v>
      </c>
      <c r="G13" s="21" t="s">
        <v>267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520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53</v>
      </c>
      <c r="B15" s="19">
        <v>90.0</v>
      </c>
      <c r="C15" s="21" t="s">
        <v>267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33</v>
      </c>
      <c r="B16" s="19">
        <v>20.0</v>
      </c>
      <c r="C16" s="21" t="s">
        <v>521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208</v>
      </c>
      <c r="B17" s="19">
        <v>90.0</v>
      </c>
      <c r="C17" s="21" t="s">
        <v>267</v>
      </c>
    </row>
    <row r="18" ht="14.25" customHeight="1">
      <c r="A18" s="21" t="s">
        <v>60</v>
      </c>
      <c r="B18" s="19">
        <v>90.0</v>
      </c>
      <c r="C18" s="21" t="s">
        <v>267</v>
      </c>
      <c r="E18" s="11" t="s">
        <v>46</v>
      </c>
      <c r="F18" s="12">
        <f>SUM(F3:F13)</f>
        <v>750</v>
      </c>
    </row>
    <row r="19" ht="14.25" customHeight="1">
      <c r="A19" s="45" t="s">
        <v>522</v>
      </c>
      <c r="B19" s="19">
        <v>20.0</v>
      </c>
      <c r="C19" s="21" t="s">
        <v>517</v>
      </c>
    </row>
    <row r="20" ht="14.25" customHeight="1">
      <c r="A20" s="21" t="s">
        <v>126</v>
      </c>
      <c r="B20" s="19">
        <v>40.0</v>
      </c>
      <c r="C20" s="21" t="s">
        <v>524</v>
      </c>
    </row>
    <row r="21" ht="14.25" customHeight="1">
      <c r="A21" s="21" t="s">
        <v>431</v>
      </c>
      <c r="B21" s="19">
        <v>20.0</v>
      </c>
      <c r="C21" s="21" t="s">
        <v>525</v>
      </c>
    </row>
    <row r="22" ht="14.25" customHeight="1">
      <c r="A22" s="21" t="s">
        <v>116</v>
      </c>
      <c r="B22" s="19">
        <v>-30.0</v>
      </c>
      <c r="C22" s="21" t="s">
        <v>525</v>
      </c>
    </row>
    <row r="23" ht="14.25" customHeight="1">
      <c r="A23" s="21" t="s">
        <v>19</v>
      </c>
      <c r="B23" s="19">
        <v>90.0</v>
      </c>
      <c r="C23" s="21" t="s">
        <v>267</v>
      </c>
    </row>
    <row r="24" ht="14.25" customHeight="1">
      <c r="A24" s="21" t="s">
        <v>348</v>
      </c>
      <c r="B24" s="19">
        <v>20.0</v>
      </c>
      <c r="C24" s="21" t="s">
        <v>517</v>
      </c>
    </row>
    <row r="25" ht="14.25" customHeight="1">
      <c r="A25" s="21" t="s">
        <v>526</v>
      </c>
      <c r="B25" s="19">
        <v>20.0</v>
      </c>
      <c r="C25" s="21" t="s">
        <v>517</v>
      </c>
    </row>
    <row r="26" ht="14.25" customHeight="1">
      <c r="A26" s="21" t="s">
        <v>484</v>
      </c>
      <c r="B26" s="19">
        <v>40.0</v>
      </c>
      <c r="C26" s="21" t="s">
        <v>524</v>
      </c>
    </row>
    <row r="27" ht="14.25" customHeight="1">
      <c r="A27" s="21" t="s">
        <v>365</v>
      </c>
      <c r="B27" s="19">
        <v>90.0</v>
      </c>
      <c r="C27" s="21" t="s">
        <v>267</v>
      </c>
    </row>
    <row r="28" ht="14.25" customHeight="1">
      <c r="A28" s="21" t="s">
        <v>528</v>
      </c>
      <c r="B28" s="19">
        <v>20.0</v>
      </c>
      <c r="C28" s="21" t="s">
        <v>512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1316.98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518</v>
      </c>
      <c r="B1" s="2"/>
      <c r="C1" s="3"/>
      <c r="E1" s="4" t="s">
        <v>1</v>
      </c>
      <c r="F1" s="2"/>
      <c r="G1" s="3"/>
      <c r="I1" s="1" t="s">
        <v>194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1132.98</v>
      </c>
      <c r="C3" s="14" t="s">
        <v>508</v>
      </c>
      <c r="E3" s="21" t="s">
        <v>17</v>
      </c>
      <c r="F3" s="19">
        <v>90.0</v>
      </c>
      <c r="G3" s="21" t="s">
        <v>509</v>
      </c>
      <c r="I3" s="11">
        <v>1.0</v>
      </c>
      <c r="J3" s="11" t="s">
        <v>19</v>
      </c>
      <c r="K3" s="16"/>
    </row>
    <row r="4" ht="14.25" customHeight="1">
      <c r="A4" s="21" t="s">
        <v>74</v>
      </c>
      <c r="B4" s="19">
        <v>180.0</v>
      </c>
      <c r="C4" s="21" t="s">
        <v>494</v>
      </c>
      <c r="E4" s="21" t="s">
        <v>56</v>
      </c>
      <c r="F4" s="19">
        <v>50.0</v>
      </c>
      <c r="G4" s="21" t="s">
        <v>510</v>
      </c>
      <c r="I4" s="11">
        <v>2.0</v>
      </c>
      <c r="J4" s="11" t="s">
        <v>26</v>
      </c>
      <c r="K4" s="16"/>
    </row>
    <row r="5" ht="14.25" customHeight="1">
      <c r="A5" s="21" t="s">
        <v>126</v>
      </c>
      <c r="B5" s="19">
        <v>40.0</v>
      </c>
      <c r="C5" s="21" t="s">
        <v>523</v>
      </c>
      <c r="E5" s="21" t="s">
        <v>447</v>
      </c>
      <c r="F5" s="19">
        <v>20.0</v>
      </c>
      <c r="G5" s="21" t="s">
        <v>448</v>
      </c>
      <c r="I5" s="11">
        <v>3.0</v>
      </c>
      <c r="J5" s="16" t="s">
        <v>37</v>
      </c>
      <c r="K5" s="16"/>
    </row>
    <row r="6" ht="14.25" customHeight="1">
      <c r="A6" s="21" t="s">
        <v>503</v>
      </c>
      <c r="B6" s="19">
        <v>20.0</v>
      </c>
      <c r="C6" s="21" t="s">
        <v>504</v>
      </c>
      <c r="E6" s="21" t="s">
        <v>28</v>
      </c>
      <c r="F6" s="19">
        <v>20.0</v>
      </c>
      <c r="G6" s="21" t="s">
        <v>454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293</v>
      </c>
      <c r="B7" s="19">
        <v>90.0</v>
      </c>
      <c r="C7" s="21" t="s">
        <v>211</v>
      </c>
      <c r="E7" s="21" t="s">
        <v>37</v>
      </c>
      <c r="F7" s="19">
        <v>190.0</v>
      </c>
      <c r="G7" s="21" t="s">
        <v>519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65</v>
      </c>
      <c r="B8" s="19">
        <v>-30.0</v>
      </c>
      <c r="C8" s="21" t="s">
        <v>527</v>
      </c>
      <c r="E8" s="21" t="s">
        <v>500</v>
      </c>
      <c r="F8" s="19">
        <v>20.0</v>
      </c>
      <c r="G8" s="21" t="s">
        <v>496</v>
      </c>
      <c r="I8" s="11">
        <v>6.0</v>
      </c>
      <c r="J8" s="16" t="s">
        <v>293</v>
      </c>
      <c r="K8" s="16"/>
    </row>
    <row r="9" ht="14.25" customHeight="1">
      <c r="A9" s="21" t="s">
        <v>116</v>
      </c>
      <c r="B9" s="19">
        <v>-30.0</v>
      </c>
      <c r="C9" s="21" t="s">
        <v>527</v>
      </c>
      <c r="E9" s="21" t="s">
        <v>447</v>
      </c>
      <c r="F9" s="19">
        <v>20.0</v>
      </c>
      <c r="G9" s="21" t="s">
        <v>496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243</v>
      </c>
      <c r="B10" s="19">
        <v>20.0</v>
      </c>
      <c r="C10" s="21" t="s">
        <v>527</v>
      </c>
      <c r="E10" s="21" t="s">
        <v>26</v>
      </c>
      <c r="F10" s="19">
        <v>90.0</v>
      </c>
      <c r="G10" s="21" t="s">
        <v>202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261</v>
      </c>
      <c r="B11" s="19">
        <v>20.0</v>
      </c>
      <c r="C11" s="21" t="s">
        <v>527</v>
      </c>
      <c r="E11" s="21" t="s">
        <v>293</v>
      </c>
      <c r="F11" s="19">
        <v>90.0</v>
      </c>
      <c r="G11" s="21" t="s">
        <v>202</v>
      </c>
      <c r="I11" s="11">
        <v>9.0</v>
      </c>
      <c r="J11" s="29" t="s">
        <v>41</v>
      </c>
      <c r="K11" s="16" t="s">
        <v>210</v>
      </c>
    </row>
    <row r="12" ht="14.25" customHeight="1">
      <c r="A12" s="21" t="s">
        <v>26</v>
      </c>
      <c r="B12" s="19">
        <v>90.0</v>
      </c>
      <c r="C12" s="21" t="s">
        <v>211</v>
      </c>
      <c r="E12" s="21" t="s">
        <v>74</v>
      </c>
      <c r="F12" s="19">
        <v>90.0</v>
      </c>
      <c r="G12" s="21" t="s">
        <v>202</v>
      </c>
      <c r="I12" s="11">
        <v>10.0</v>
      </c>
      <c r="J12" s="16" t="s">
        <v>356</v>
      </c>
      <c r="K12" s="16" t="s">
        <v>20</v>
      </c>
    </row>
    <row r="13" ht="14.25" customHeight="1">
      <c r="A13" s="19" t="s">
        <v>53</v>
      </c>
      <c r="B13" s="19">
        <v>90.0</v>
      </c>
      <c r="C13" s="21" t="s">
        <v>202</v>
      </c>
      <c r="E13" s="21" t="s">
        <v>126</v>
      </c>
      <c r="F13" s="19">
        <v>20.0</v>
      </c>
      <c r="G13" s="21" t="s">
        <v>512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-950.0</v>
      </c>
      <c r="C14" s="34" t="s">
        <v>529</v>
      </c>
      <c r="E14" s="21" t="s">
        <v>528</v>
      </c>
      <c r="F14" s="19">
        <v>20.0</v>
      </c>
      <c r="G14" s="21" t="s">
        <v>512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356</v>
      </c>
      <c r="B15" s="19">
        <v>90.0</v>
      </c>
      <c r="C15" s="21" t="s">
        <v>202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126</v>
      </c>
      <c r="B16" s="19">
        <v>20.0</v>
      </c>
      <c r="C16" s="21" t="s">
        <v>530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60</v>
      </c>
      <c r="B17" s="19">
        <v>90.0</v>
      </c>
      <c r="C17" s="21" t="s">
        <v>202</v>
      </c>
    </row>
    <row r="18" ht="14.25" customHeight="1">
      <c r="A18" s="21" t="s">
        <v>39</v>
      </c>
      <c r="B18" s="19">
        <v>90.0</v>
      </c>
      <c r="C18" s="21" t="s">
        <v>202</v>
      </c>
      <c r="E18" s="11" t="s">
        <v>46</v>
      </c>
      <c r="F18" s="12">
        <f>SUM(F3:F14)</f>
        <v>720</v>
      </c>
    </row>
    <row r="19" ht="14.25" customHeight="1">
      <c r="A19" s="45" t="s">
        <v>97</v>
      </c>
      <c r="B19" s="19">
        <v>90.0</v>
      </c>
      <c r="C19" s="21" t="s">
        <v>202</v>
      </c>
    </row>
    <row r="20" ht="14.25" customHeight="1">
      <c r="A20" s="21" t="s">
        <v>364</v>
      </c>
      <c r="B20" s="19">
        <v>-176.0</v>
      </c>
      <c r="C20" s="21" t="s">
        <v>364</v>
      </c>
    </row>
    <row r="21" ht="14.25" customHeight="1">
      <c r="A21" s="21" t="s">
        <v>290</v>
      </c>
      <c r="B21" s="19">
        <v>60.0</v>
      </c>
      <c r="C21" s="21" t="s">
        <v>497</v>
      </c>
    </row>
    <row r="22" ht="14.25" customHeight="1">
      <c r="A22" s="21" t="s">
        <v>42</v>
      </c>
      <c r="B22" s="19">
        <v>180.0</v>
      </c>
      <c r="C22" s="21" t="s">
        <v>531</v>
      </c>
    </row>
    <row r="23" ht="14.25" customHeight="1">
      <c r="A23" s="45" t="s">
        <v>33</v>
      </c>
      <c r="B23" s="19">
        <v>20.0</v>
      </c>
      <c r="C23" s="21" t="s">
        <v>532</v>
      </c>
    </row>
    <row r="24" ht="14.25" customHeight="1">
      <c r="A24" s="21" t="s">
        <v>208</v>
      </c>
      <c r="B24" s="19">
        <v>90.0</v>
      </c>
      <c r="C24" s="21" t="s">
        <v>202</v>
      </c>
    </row>
    <row r="25" ht="14.25" customHeight="1">
      <c r="A25" s="21" t="s">
        <v>533</v>
      </c>
      <c r="B25" s="19">
        <v>-30.0</v>
      </c>
      <c r="C25" s="21" t="s">
        <v>532</v>
      </c>
    </row>
    <row r="26" ht="14.25" customHeight="1">
      <c r="A26" s="21" t="s">
        <v>534</v>
      </c>
      <c r="B26" s="19">
        <v>-35.0</v>
      </c>
      <c r="C26" s="21" t="s">
        <v>105</v>
      </c>
    </row>
    <row r="27" ht="14.25" customHeight="1">
      <c r="A27" s="21" t="s">
        <v>365</v>
      </c>
      <c r="B27" s="19">
        <v>90.0</v>
      </c>
      <c r="C27" s="21" t="s">
        <v>202</v>
      </c>
    </row>
    <row r="28" ht="14.25" customHeight="1">
      <c r="A28" s="21" t="s">
        <v>535</v>
      </c>
      <c r="B28" s="19">
        <v>20.0</v>
      </c>
      <c r="C28" s="21" t="s">
        <v>536</v>
      </c>
    </row>
    <row r="29" ht="14.25" customHeight="1">
      <c r="A29" s="21" t="s">
        <v>75</v>
      </c>
      <c r="B29" s="19">
        <v>20.0</v>
      </c>
      <c r="C29" s="21" t="s">
        <v>536</v>
      </c>
    </row>
    <row r="30" ht="14.25" customHeight="1">
      <c r="A30" s="21" t="s">
        <v>65</v>
      </c>
      <c r="B30" s="19">
        <v>-30.0</v>
      </c>
      <c r="C30" s="21" t="s">
        <v>536</v>
      </c>
    </row>
    <row r="31" ht="14.25" customHeight="1">
      <c r="A31" s="21" t="s">
        <v>486</v>
      </c>
      <c r="B31" s="19">
        <v>-30.0</v>
      </c>
      <c r="C31" s="21" t="s">
        <v>536</v>
      </c>
    </row>
    <row r="32" ht="14.25" customHeight="1">
      <c r="A32" s="21" t="s">
        <v>126</v>
      </c>
      <c r="B32" s="19">
        <v>40.0</v>
      </c>
      <c r="C32" s="21" t="s">
        <v>538</v>
      </c>
    </row>
    <row r="33" ht="14.25" customHeight="1">
      <c r="A33" s="21" t="s">
        <v>486</v>
      </c>
      <c r="B33" s="19">
        <v>-30.0</v>
      </c>
      <c r="C33" s="21" t="s">
        <v>512</v>
      </c>
    </row>
    <row r="34" ht="14.25" customHeight="1">
      <c r="A34" s="21"/>
      <c r="B34" s="19"/>
      <c r="C34" s="16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1241.98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537</v>
      </c>
      <c r="B1" s="2"/>
      <c r="C1" s="3"/>
      <c r="E1" s="4" t="s">
        <v>1</v>
      </c>
      <c r="F1" s="2"/>
      <c r="G1" s="3"/>
      <c r="I1" s="1" t="s">
        <v>296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1316.98</v>
      </c>
      <c r="C3" s="14" t="s">
        <v>539</v>
      </c>
      <c r="E3" s="21" t="s">
        <v>17</v>
      </c>
      <c r="F3" s="19">
        <v>90.0</v>
      </c>
      <c r="G3" s="21" t="s">
        <v>509</v>
      </c>
      <c r="I3" s="11">
        <v>1.0</v>
      </c>
      <c r="J3" s="11" t="s">
        <v>19</v>
      </c>
      <c r="K3" s="16" t="s">
        <v>210</v>
      </c>
    </row>
    <row r="4" ht="14.25" customHeight="1">
      <c r="A4" s="21" t="s">
        <v>293</v>
      </c>
      <c r="B4" s="19">
        <v>90.0</v>
      </c>
      <c r="C4" s="21" t="s">
        <v>267</v>
      </c>
      <c r="E4" s="21" t="s">
        <v>447</v>
      </c>
      <c r="F4" s="19">
        <v>40.0</v>
      </c>
      <c r="G4" s="21" t="s">
        <v>511</v>
      </c>
      <c r="I4" s="11">
        <v>2.0</v>
      </c>
      <c r="J4" s="11" t="s">
        <v>26</v>
      </c>
      <c r="K4" s="16"/>
    </row>
    <row r="5" ht="14.25" customHeight="1">
      <c r="A5" s="21" t="s">
        <v>356</v>
      </c>
      <c r="B5" s="19">
        <v>90.0</v>
      </c>
      <c r="C5" s="21" t="s">
        <v>299</v>
      </c>
      <c r="E5" s="21" t="s">
        <v>28</v>
      </c>
      <c r="F5" s="19">
        <v>20.0</v>
      </c>
      <c r="G5" s="21" t="s">
        <v>454</v>
      </c>
      <c r="I5" s="11">
        <v>3.0</v>
      </c>
      <c r="J5" s="16" t="s">
        <v>37</v>
      </c>
      <c r="K5" s="16"/>
    </row>
    <row r="6" ht="14.25" customHeight="1">
      <c r="A6" s="21" t="s">
        <v>42</v>
      </c>
      <c r="B6" s="19">
        <v>90.0</v>
      </c>
      <c r="C6" s="21" t="s">
        <v>299</v>
      </c>
      <c r="E6" s="21" t="s">
        <v>500</v>
      </c>
      <c r="F6" s="19">
        <v>20.0</v>
      </c>
      <c r="G6" s="21" t="s">
        <v>496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26</v>
      </c>
      <c r="B7" s="19">
        <v>90.0</v>
      </c>
      <c r="C7" s="21" t="s">
        <v>202</v>
      </c>
      <c r="E7" s="21" t="s">
        <v>26</v>
      </c>
      <c r="F7" s="19">
        <v>90.0</v>
      </c>
      <c r="G7" s="21" t="s">
        <v>299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53</v>
      </c>
      <c r="B8" s="19">
        <v>90.0</v>
      </c>
      <c r="C8" s="21" t="s">
        <v>299</v>
      </c>
      <c r="E8" s="21" t="s">
        <v>37</v>
      </c>
      <c r="F8" s="19">
        <v>90.0</v>
      </c>
      <c r="G8" s="21" t="s">
        <v>299</v>
      </c>
      <c r="I8" s="11">
        <v>6.0</v>
      </c>
      <c r="J8" s="16" t="s">
        <v>293</v>
      </c>
      <c r="K8" s="16"/>
    </row>
    <row r="9" ht="14.25" customHeight="1">
      <c r="A9" s="21" t="s">
        <v>516</v>
      </c>
      <c r="B9" s="19">
        <v>90.0</v>
      </c>
      <c r="C9" s="21" t="s">
        <v>267</v>
      </c>
      <c r="E9" s="21" t="s">
        <v>265</v>
      </c>
      <c r="F9" s="19">
        <v>90.0</v>
      </c>
      <c r="G9" s="21" t="s">
        <v>299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535</v>
      </c>
      <c r="B10" s="19">
        <v>20.0</v>
      </c>
      <c r="C10" s="21" t="s">
        <v>540</v>
      </c>
      <c r="E10" s="21" t="s">
        <v>293</v>
      </c>
      <c r="F10" s="19">
        <v>90.0</v>
      </c>
      <c r="G10" s="21" t="s">
        <v>299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541</v>
      </c>
      <c r="B11" s="19">
        <v>20.0</v>
      </c>
      <c r="C11" s="21" t="s">
        <v>540</v>
      </c>
      <c r="E11" s="21" t="s">
        <v>74</v>
      </c>
      <c r="F11" s="19">
        <v>90.0</v>
      </c>
      <c r="G11" s="21" t="s">
        <v>299</v>
      </c>
      <c r="I11" s="11">
        <v>9.0</v>
      </c>
      <c r="J11" s="29" t="s">
        <v>269</v>
      </c>
      <c r="K11" s="16"/>
    </row>
    <row r="12" ht="14.25" customHeight="1">
      <c r="A12" s="21" t="s">
        <v>364</v>
      </c>
      <c r="B12" s="19">
        <v>-170.0</v>
      </c>
      <c r="C12" s="21" t="s">
        <v>542</v>
      </c>
      <c r="E12" s="21" t="s">
        <v>60</v>
      </c>
      <c r="F12" s="19">
        <v>90.0</v>
      </c>
      <c r="G12" s="21" t="s">
        <v>299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105</v>
      </c>
      <c r="B13" s="19">
        <v>-35.0</v>
      </c>
      <c r="C13" s="21" t="s">
        <v>542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-1025.0</v>
      </c>
      <c r="C14" s="34" t="s">
        <v>543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116</v>
      </c>
      <c r="B15" s="19">
        <v>-30.0</v>
      </c>
      <c r="C15" s="21" t="s">
        <v>540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39</v>
      </c>
      <c r="B16" s="19">
        <v>90.0</v>
      </c>
      <c r="C16" s="21" t="s">
        <v>299</v>
      </c>
      <c r="I16" s="11">
        <v>14.0</v>
      </c>
      <c r="J16" s="21" t="s">
        <v>60</v>
      </c>
      <c r="K16" s="16"/>
    </row>
    <row r="17" ht="14.25" customHeight="1">
      <c r="A17" s="21" t="s">
        <v>269</v>
      </c>
      <c r="B17" s="19">
        <v>60.0</v>
      </c>
      <c r="C17" s="21" t="s">
        <v>267</v>
      </c>
    </row>
    <row r="18" ht="14.25" customHeight="1">
      <c r="A18" s="21" t="s">
        <v>26</v>
      </c>
      <c r="B18" s="19">
        <v>90.0</v>
      </c>
      <c r="C18" s="21" t="s">
        <v>267</v>
      </c>
    </row>
    <row r="19" ht="14.25" customHeight="1">
      <c r="A19" s="45" t="s">
        <v>37</v>
      </c>
      <c r="B19" s="19">
        <v>90.0</v>
      </c>
      <c r="C19" s="21" t="s">
        <v>267</v>
      </c>
      <c r="E19" s="11" t="s">
        <v>46</v>
      </c>
      <c r="F19" s="12">
        <f>SUM(F3:F17)</f>
        <v>710</v>
      </c>
    </row>
    <row r="20" ht="14.25" customHeight="1">
      <c r="A20" s="21" t="s">
        <v>287</v>
      </c>
      <c r="B20" s="19">
        <v>20.0</v>
      </c>
      <c r="C20" s="21" t="s">
        <v>540</v>
      </c>
    </row>
    <row r="21" ht="14.25" customHeight="1">
      <c r="A21" s="21" t="s">
        <v>261</v>
      </c>
      <c r="B21" s="19">
        <v>20.0</v>
      </c>
      <c r="C21" s="21" t="s">
        <v>517</v>
      </c>
    </row>
    <row r="22" ht="14.25" customHeight="1">
      <c r="A22" s="21" t="s">
        <v>544</v>
      </c>
      <c r="B22" s="19">
        <v>20.0</v>
      </c>
      <c r="C22" s="21" t="s">
        <v>545</v>
      </c>
    </row>
    <row r="23" ht="14.25" customHeight="1">
      <c r="A23" s="21" t="s">
        <v>65</v>
      </c>
      <c r="B23" s="19">
        <v>20.0</v>
      </c>
      <c r="C23" s="21" t="s">
        <v>545</v>
      </c>
    </row>
    <row r="24" ht="14.25" customHeight="1">
      <c r="A24" s="21" t="s">
        <v>546</v>
      </c>
      <c r="B24" s="19">
        <v>40.0</v>
      </c>
      <c r="C24" s="21" t="s">
        <v>545</v>
      </c>
    </row>
    <row r="25" ht="14.25" customHeight="1">
      <c r="A25" s="21" t="s">
        <v>97</v>
      </c>
      <c r="B25" s="19">
        <v>90.0</v>
      </c>
      <c r="C25" s="21" t="s">
        <v>299</v>
      </c>
    </row>
    <row r="26" ht="14.25" customHeight="1">
      <c r="A26" s="21" t="s">
        <v>116</v>
      </c>
      <c r="B26" s="19">
        <v>-60.0</v>
      </c>
      <c r="C26" s="21" t="s">
        <v>547</v>
      </c>
    </row>
    <row r="27" ht="14.25" customHeight="1">
      <c r="A27" s="21" t="s">
        <v>65</v>
      </c>
      <c r="B27" s="19">
        <v>-30.0</v>
      </c>
      <c r="C27" s="21" t="s">
        <v>545</v>
      </c>
    </row>
    <row r="28" ht="14.25" customHeight="1">
      <c r="A28" s="21" t="s">
        <v>528</v>
      </c>
      <c r="B28" s="19">
        <v>20.0</v>
      </c>
      <c r="C28" s="21" t="s">
        <v>545</v>
      </c>
    </row>
    <row r="29" ht="14.25" customHeight="1">
      <c r="A29" s="21" t="s">
        <v>208</v>
      </c>
      <c r="B29" s="19">
        <v>90.0</v>
      </c>
      <c r="C29" s="21" t="s">
        <v>299</v>
      </c>
    </row>
    <row r="30" ht="14.25" customHeight="1">
      <c r="A30" s="21" t="s">
        <v>365</v>
      </c>
      <c r="B30" s="19">
        <v>90.0</v>
      </c>
      <c r="C30" s="21" t="s">
        <v>299</v>
      </c>
    </row>
    <row r="31" ht="14.25" customHeight="1">
      <c r="A31" s="21" t="s">
        <v>65</v>
      </c>
      <c r="B31" s="19">
        <v>-30.0</v>
      </c>
      <c r="C31" s="21" t="s">
        <v>548</v>
      </c>
    </row>
    <row r="32" ht="14.25" customHeight="1">
      <c r="A32" s="21" t="s">
        <v>153</v>
      </c>
      <c r="B32" s="19">
        <v>20.0</v>
      </c>
      <c r="C32" s="21" t="s">
        <v>548</v>
      </c>
    </row>
    <row r="33" ht="14.25" customHeight="1">
      <c r="A33" s="21" t="s">
        <v>528</v>
      </c>
      <c r="B33" s="19">
        <v>20.0</v>
      </c>
      <c r="C33" s="21" t="s">
        <v>548</v>
      </c>
    </row>
    <row r="34" ht="14.25" customHeight="1">
      <c r="A34" s="21" t="s">
        <v>41</v>
      </c>
      <c r="B34" s="19">
        <v>-200.0</v>
      </c>
      <c r="C34" s="16" t="s">
        <v>364</v>
      </c>
    </row>
    <row r="35" ht="14.25" customHeight="1">
      <c r="A35" s="21" t="s">
        <v>41</v>
      </c>
      <c r="B35" s="19">
        <v>20.0</v>
      </c>
      <c r="C35" s="21" t="s">
        <v>549</v>
      </c>
    </row>
    <row r="36" ht="14.25" customHeight="1">
      <c r="A36" s="21" t="s">
        <v>95</v>
      </c>
      <c r="B36" s="19">
        <v>20.0</v>
      </c>
      <c r="C36" s="21" t="s">
        <v>549</v>
      </c>
    </row>
    <row r="37" ht="14.25" customHeight="1">
      <c r="A37" s="21" t="s">
        <v>105</v>
      </c>
      <c r="B37" s="19">
        <v>-35.0</v>
      </c>
      <c r="C37" s="21" t="s">
        <v>364</v>
      </c>
    </row>
    <row r="38" ht="14.25" customHeight="1">
      <c r="A38" s="21" t="s">
        <v>56</v>
      </c>
      <c r="B38" s="19">
        <v>50.0</v>
      </c>
      <c r="C38" s="21" t="s">
        <v>510</v>
      </c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1151.98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550</v>
      </c>
      <c r="B1" s="2"/>
      <c r="C1" s="3"/>
      <c r="E1" s="4" t="s">
        <v>1</v>
      </c>
      <c r="F1" s="2"/>
      <c r="G1" s="3"/>
      <c r="I1" s="1" t="s">
        <v>300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1151.98</v>
      </c>
      <c r="C3" s="14" t="s">
        <v>551</v>
      </c>
      <c r="E3" s="21" t="s">
        <v>17</v>
      </c>
      <c r="F3" s="19">
        <v>110.0</v>
      </c>
      <c r="G3" s="21" t="s">
        <v>552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293</v>
      </c>
      <c r="B4" s="19">
        <v>90.0</v>
      </c>
      <c r="C4" s="21" t="s">
        <v>299</v>
      </c>
      <c r="E4" s="21" t="s">
        <v>447</v>
      </c>
      <c r="F4" s="19">
        <v>40.0</v>
      </c>
      <c r="G4" s="21" t="s">
        <v>511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544</v>
      </c>
      <c r="B5" s="19">
        <v>20.0</v>
      </c>
      <c r="C5" s="21" t="s">
        <v>553</v>
      </c>
      <c r="E5" s="21" t="s">
        <v>28</v>
      </c>
      <c r="F5" s="19">
        <v>40.0</v>
      </c>
      <c r="G5" s="21" t="s">
        <v>554</v>
      </c>
      <c r="I5" s="11">
        <v>3.0</v>
      </c>
      <c r="J5" s="16" t="s">
        <v>37</v>
      </c>
      <c r="K5" s="16"/>
    </row>
    <row r="6" ht="14.25" customHeight="1">
      <c r="A6" s="21" t="s">
        <v>356</v>
      </c>
      <c r="B6" s="19">
        <v>90.0</v>
      </c>
      <c r="C6" s="21" t="s">
        <v>27</v>
      </c>
      <c r="E6" s="21" t="s">
        <v>500</v>
      </c>
      <c r="F6" s="19">
        <v>20.0</v>
      </c>
      <c r="G6" s="21" t="s">
        <v>496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53</v>
      </c>
      <c r="B7" s="19">
        <v>90.0</v>
      </c>
      <c r="C7" s="21" t="s">
        <v>27</v>
      </c>
      <c r="E7" s="21" t="s">
        <v>265</v>
      </c>
      <c r="F7" s="19">
        <v>90.0</v>
      </c>
      <c r="G7" s="21" t="s">
        <v>27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39</v>
      </c>
      <c r="B8" s="19">
        <v>90.0</v>
      </c>
      <c r="C8" s="21" t="s">
        <v>27</v>
      </c>
      <c r="E8" s="21" t="s">
        <v>555</v>
      </c>
      <c r="F8" s="19">
        <v>20.0</v>
      </c>
      <c r="G8" s="96" t="s">
        <v>556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60</v>
      </c>
      <c r="B9" s="19">
        <v>180.0</v>
      </c>
      <c r="C9" s="21" t="s">
        <v>557</v>
      </c>
      <c r="E9" s="21" t="s">
        <v>37</v>
      </c>
      <c r="F9" s="19">
        <v>90.0</v>
      </c>
      <c r="G9" s="21" t="s">
        <v>27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243</v>
      </c>
      <c r="B10" s="19">
        <v>20.0</v>
      </c>
      <c r="C10" s="21" t="s">
        <v>553</v>
      </c>
      <c r="E10" s="21" t="s">
        <v>74</v>
      </c>
      <c r="F10" s="19">
        <v>90.0</v>
      </c>
      <c r="G10" s="21" t="s">
        <v>27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287</v>
      </c>
      <c r="B11" s="19">
        <v>20.0</v>
      </c>
      <c r="C11" s="21" t="s">
        <v>553</v>
      </c>
      <c r="E11" s="21" t="s">
        <v>100</v>
      </c>
      <c r="F11" s="19">
        <v>20.0</v>
      </c>
      <c r="G11" s="21" t="s">
        <v>558</v>
      </c>
      <c r="I11" s="11">
        <v>9.0</v>
      </c>
      <c r="J11" s="29" t="s">
        <v>269</v>
      </c>
      <c r="K11" s="16"/>
    </row>
    <row r="12" ht="14.25" customHeight="1">
      <c r="A12" s="21" t="s">
        <v>544</v>
      </c>
      <c r="B12" s="19">
        <v>20.0</v>
      </c>
      <c r="C12" s="21" t="s">
        <v>559</v>
      </c>
      <c r="E12" s="21" t="s">
        <v>287</v>
      </c>
      <c r="F12" s="19">
        <v>20.0</v>
      </c>
      <c r="G12" s="21" t="s">
        <v>560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95</v>
      </c>
      <c r="B13" s="19">
        <v>20.0</v>
      </c>
      <c r="C13" s="21" t="s">
        <v>559</v>
      </c>
      <c r="I13" s="11">
        <v>11.0</v>
      </c>
      <c r="J13" s="20" t="s">
        <v>97</v>
      </c>
      <c r="K13" s="16" t="s">
        <v>210</v>
      </c>
    </row>
    <row r="14" ht="14.25" customHeight="1">
      <c r="A14" s="34" t="s">
        <v>77</v>
      </c>
      <c r="B14" s="38">
        <v>-1025.0</v>
      </c>
      <c r="C14" s="34" t="s">
        <v>561</v>
      </c>
      <c r="I14" s="11">
        <v>12.0</v>
      </c>
      <c r="J14" s="11" t="s">
        <v>42</v>
      </c>
      <c r="K14" s="16" t="s">
        <v>210</v>
      </c>
    </row>
    <row r="15" ht="14.25" customHeight="1">
      <c r="A15" s="21" t="s">
        <v>116</v>
      </c>
      <c r="B15" s="19">
        <v>-30.0</v>
      </c>
      <c r="C15" s="21" t="s">
        <v>559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33</v>
      </c>
      <c r="B16" s="19">
        <v>20.0</v>
      </c>
      <c r="C16" s="21" t="s">
        <v>553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562</v>
      </c>
      <c r="B17" s="19">
        <v>20.0</v>
      </c>
      <c r="C17" s="21" t="s">
        <v>559</v>
      </c>
    </row>
    <row r="18" ht="14.25" customHeight="1">
      <c r="A18" s="21" t="s">
        <v>116</v>
      </c>
      <c r="B18" s="19">
        <v>-60.0</v>
      </c>
      <c r="C18" s="21" t="s">
        <v>563</v>
      </c>
    </row>
    <row r="19" ht="14.25" customHeight="1">
      <c r="A19" s="21" t="s">
        <v>37</v>
      </c>
      <c r="B19" s="19">
        <v>90.0</v>
      </c>
      <c r="C19" s="21" t="s">
        <v>299</v>
      </c>
      <c r="E19" s="11" t="s">
        <v>46</v>
      </c>
      <c r="F19" s="12">
        <f>SUM(F3:F15)</f>
        <v>540</v>
      </c>
    </row>
    <row r="20" ht="14.25" customHeight="1">
      <c r="A20" s="21" t="s">
        <v>74</v>
      </c>
      <c r="B20" s="19">
        <v>90.0</v>
      </c>
      <c r="C20" s="21" t="s">
        <v>299</v>
      </c>
    </row>
    <row r="21" ht="14.25" customHeight="1">
      <c r="A21" s="21" t="s">
        <v>435</v>
      </c>
      <c r="B21" s="19">
        <v>30.0</v>
      </c>
      <c r="C21" s="21" t="s">
        <v>564</v>
      </c>
    </row>
    <row r="22" ht="14.25" customHeight="1">
      <c r="A22" s="21" t="s">
        <v>544</v>
      </c>
      <c r="B22" s="19">
        <v>20.0</v>
      </c>
      <c r="C22" s="96" t="s">
        <v>556</v>
      </c>
    </row>
    <row r="23" ht="14.25" customHeight="1">
      <c r="A23" s="21" t="s">
        <v>208</v>
      </c>
      <c r="B23" s="19">
        <v>90.0</v>
      </c>
      <c r="C23" s="21" t="s">
        <v>27</v>
      </c>
    </row>
    <row r="24" ht="14.25" customHeight="1">
      <c r="A24" s="21" t="s">
        <v>26</v>
      </c>
      <c r="B24" s="19">
        <v>100.0</v>
      </c>
      <c r="C24" s="21" t="s">
        <v>565</v>
      </c>
    </row>
    <row r="25" ht="14.25" customHeight="1">
      <c r="A25" s="21" t="s">
        <v>19</v>
      </c>
      <c r="B25" s="19">
        <v>120.0</v>
      </c>
      <c r="C25" s="21" t="s">
        <v>566</v>
      </c>
    </row>
    <row r="26" ht="14.25" customHeight="1">
      <c r="A26" s="21" t="s">
        <v>567</v>
      </c>
      <c r="B26" s="19">
        <v>-55.0</v>
      </c>
      <c r="C26" s="21" t="s">
        <v>568</v>
      </c>
    </row>
    <row r="27" ht="14.25" customHeight="1">
      <c r="A27" s="21" t="s">
        <v>544</v>
      </c>
      <c r="B27" s="19">
        <v>30.0</v>
      </c>
      <c r="C27" s="21" t="s">
        <v>569</v>
      </c>
    </row>
    <row r="28" ht="14.25" customHeight="1">
      <c r="A28" s="21" t="s">
        <v>269</v>
      </c>
      <c r="B28" s="19">
        <v>90.0</v>
      </c>
      <c r="C28" s="58" t="s">
        <v>570</v>
      </c>
    </row>
    <row r="29" ht="14.25" customHeight="1">
      <c r="A29" s="21" t="s">
        <v>562</v>
      </c>
      <c r="B29" s="19">
        <v>-271.26</v>
      </c>
      <c r="C29" s="21" t="s">
        <v>568</v>
      </c>
    </row>
    <row r="30" ht="14.25" customHeight="1">
      <c r="A30" s="21" t="s">
        <v>562</v>
      </c>
      <c r="B30" s="19">
        <v>40.0</v>
      </c>
      <c r="C30" s="21" t="s">
        <v>571</v>
      </c>
    </row>
    <row r="31" ht="14.25" customHeight="1">
      <c r="A31" s="21" t="s">
        <v>365</v>
      </c>
      <c r="B31" s="19">
        <v>90.0</v>
      </c>
      <c r="C31" s="21" t="s">
        <v>27</v>
      </c>
    </row>
    <row r="32" ht="14.25" customHeight="1">
      <c r="A32" s="21" t="s">
        <v>544</v>
      </c>
      <c r="B32" s="19">
        <v>20.0</v>
      </c>
      <c r="C32" s="21" t="s">
        <v>560</v>
      </c>
    </row>
    <row r="33" ht="14.25" customHeight="1">
      <c r="A33" s="21" t="s">
        <v>65</v>
      </c>
      <c r="B33" s="19">
        <v>-30.0</v>
      </c>
      <c r="C33" s="21" t="s">
        <v>560</v>
      </c>
    </row>
    <row r="34" ht="14.25" customHeight="1">
      <c r="A34" s="21" t="s">
        <v>26</v>
      </c>
      <c r="B34" s="19">
        <v>90.0</v>
      </c>
      <c r="C34" s="21" t="s">
        <v>27</v>
      </c>
    </row>
    <row r="35" ht="14.25" customHeight="1">
      <c r="A35" s="21" t="s">
        <v>261</v>
      </c>
      <c r="B35" s="19">
        <v>20.0</v>
      </c>
      <c r="C35" s="21" t="s">
        <v>560</v>
      </c>
    </row>
    <row r="36" ht="14.25" customHeight="1">
      <c r="A36" s="21" t="s">
        <v>293</v>
      </c>
      <c r="B36" s="19">
        <v>90.0</v>
      </c>
      <c r="C36" s="21" t="s">
        <v>27</v>
      </c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1370.72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572</v>
      </c>
      <c r="B1" s="2"/>
      <c r="C1" s="3"/>
      <c r="E1" s="4" t="s">
        <v>1</v>
      </c>
      <c r="F1" s="2"/>
      <c r="G1" s="3"/>
      <c r="I1" s="1" t="s">
        <v>300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1370.72</v>
      </c>
      <c r="C3" s="14" t="s">
        <v>551</v>
      </c>
      <c r="E3" s="21" t="s">
        <v>17</v>
      </c>
      <c r="F3" s="19">
        <v>110.0</v>
      </c>
      <c r="G3" s="21" t="s">
        <v>552</v>
      </c>
      <c r="I3" s="11">
        <v>1.0</v>
      </c>
      <c r="J3" s="11" t="s">
        <v>19</v>
      </c>
      <c r="K3" s="16"/>
    </row>
    <row r="4" ht="14.25" customHeight="1">
      <c r="A4" s="21" t="s">
        <v>53</v>
      </c>
      <c r="B4" s="19">
        <v>90.0</v>
      </c>
      <c r="C4" s="21" t="s">
        <v>18</v>
      </c>
      <c r="E4" s="21" t="s">
        <v>447</v>
      </c>
      <c r="F4" s="19">
        <v>40.0</v>
      </c>
      <c r="G4" s="21" t="s">
        <v>511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356</v>
      </c>
      <c r="B5" s="19">
        <v>90.0</v>
      </c>
      <c r="C5" s="21" t="s">
        <v>18</v>
      </c>
      <c r="E5" s="21" t="s">
        <v>28</v>
      </c>
      <c r="F5" s="19">
        <v>40.0</v>
      </c>
      <c r="G5" s="21" t="s">
        <v>554</v>
      </c>
      <c r="I5" s="11">
        <v>3.0</v>
      </c>
      <c r="J5" s="16" t="s">
        <v>37</v>
      </c>
      <c r="K5" s="16" t="s">
        <v>20</v>
      </c>
    </row>
    <row r="6" ht="14.25" customHeight="1">
      <c r="A6" s="21" t="s">
        <v>348</v>
      </c>
      <c r="B6" s="19">
        <v>20.0</v>
      </c>
      <c r="C6" s="21" t="s">
        <v>573</v>
      </c>
      <c r="E6" s="21" t="s">
        <v>500</v>
      </c>
      <c r="F6" s="19">
        <v>40.0</v>
      </c>
      <c r="G6" s="21" t="s">
        <v>574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544</v>
      </c>
      <c r="B7" s="19">
        <v>20.0</v>
      </c>
      <c r="C7" s="21" t="s">
        <v>573</v>
      </c>
      <c r="E7" s="21" t="s">
        <v>555</v>
      </c>
      <c r="F7" s="19">
        <v>20.0</v>
      </c>
      <c r="G7" s="97" t="s">
        <v>556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39</v>
      </c>
      <c r="B8" s="19">
        <v>90.0</v>
      </c>
      <c r="C8" s="21" t="s">
        <v>18</v>
      </c>
      <c r="E8" s="21" t="s">
        <v>562</v>
      </c>
      <c r="F8" s="19">
        <v>40.0</v>
      </c>
      <c r="G8" s="21" t="s">
        <v>575</v>
      </c>
      <c r="I8" s="11">
        <v>6.0</v>
      </c>
      <c r="J8" s="16" t="s">
        <v>293</v>
      </c>
      <c r="K8" s="16" t="s">
        <v>20</v>
      </c>
    </row>
    <row r="9" ht="14.25" customHeight="1">
      <c r="A9" s="21" t="s">
        <v>260</v>
      </c>
      <c r="B9" s="19">
        <v>20.0</v>
      </c>
      <c r="C9" s="21" t="s">
        <v>573</v>
      </c>
      <c r="E9" s="21" t="s">
        <v>19</v>
      </c>
      <c r="F9" s="19">
        <v>90.0</v>
      </c>
      <c r="G9" s="21" t="s">
        <v>18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60</v>
      </c>
      <c r="B10" s="19">
        <v>90.0</v>
      </c>
      <c r="C10" s="21" t="s">
        <v>18</v>
      </c>
      <c r="E10" s="21" t="s">
        <v>269</v>
      </c>
      <c r="F10" s="19">
        <v>90.0</v>
      </c>
      <c r="G10" s="21" t="s">
        <v>18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576</v>
      </c>
      <c r="B11" s="19">
        <v>-30.0</v>
      </c>
      <c r="C11" s="21" t="s">
        <v>573</v>
      </c>
      <c r="E11" s="21" t="s">
        <v>74</v>
      </c>
      <c r="F11" s="19">
        <v>90.0</v>
      </c>
      <c r="G11" s="21" t="s">
        <v>18</v>
      </c>
      <c r="I11" s="11">
        <v>9.0</v>
      </c>
      <c r="J11" s="29" t="s">
        <v>269</v>
      </c>
      <c r="K11" s="16"/>
    </row>
    <row r="12" ht="14.25" customHeight="1">
      <c r="A12" s="21" t="s">
        <v>562</v>
      </c>
      <c r="B12" s="19">
        <v>20.0</v>
      </c>
      <c r="C12" s="21" t="s">
        <v>573</v>
      </c>
      <c r="E12" s="21" t="s">
        <v>56</v>
      </c>
      <c r="F12" s="19">
        <v>20.0</v>
      </c>
      <c r="G12" s="21" t="s">
        <v>577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287</v>
      </c>
      <c r="B13" s="19">
        <v>20.0</v>
      </c>
      <c r="C13" s="21" t="s">
        <v>560</v>
      </c>
      <c r="E13" s="21" t="s">
        <v>209</v>
      </c>
      <c r="F13" s="19">
        <v>20.0</v>
      </c>
      <c r="G13" s="21" t="s">
        <v>577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-1025.0</v>
      </c>
      <c r="C14" s="34" t="s">
        <v>561</v>
      </c>
      <c r="E14" s="21" t="s">
        <v>33</v>
      </c>
      <c r="F14" s="19">
        <v>20.0</v>
      </c>
      <c r="G14" s="21" t="s">
        <v>577</v>
      </c>
      <c r="I14" s="11">
        <v>12.0</v>
      </c>
      <c r="J14" s="11" t="s">
        <v>42</v>
      </c>
      <c r="K14" s="16" t="s">
        <v>210</v>
      </c>
    </row>
    <row r="15" ht="14.25" customHeight="1">
      <c r="A15" s="21" t="s">
        <v>74</v>
      </c>
      <c r="B15" s="19">
        <v>90.0</v>
      </c>
      <c r="C15" s="21" t="s">
        <v>27</v>
      </c>
      <c r="D15" s="39"/>
      <c r="I15" s="11">
        <v>13.0</v>
      </c>
      <c r="J15" s="11" t="s">
        <v>74</v>
      </c>
      <c r="K15" s="16"/>
    </row>
    <row r="16" ht="14.25" customHeight="1">
      <c r="A16" s="21" t="s">
        <v>126</v>
      </c>
      <c r="B16" s="19">
        <v>20.0</v>
      </c>
      <c r="C16" s="21" t="s">
        <v>573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37</v>
      </c>
      <c r="B17" s="19">
        <v>90.0</v>
      </c>
      <c r="C17" s="21" t="s">
        <v>27</v>
      </c>
    </row>
    <row r="18" ht="14.25" customHeight="1">
      <c r="A18" s="21" t="s">
        <v>37</v>
      </c>
      <c r="B18" s="19">
        <v>90.0</v>
      </c>
      <c r="C18" s="21" t="s">
        <v>18</v>
      </c>
    </row>
    <row r="19" ht="14.25" customHeight="1">
      <c r="A19" s="21" t="s">
        <v>26</v>
      </c>
      <c r="B19" s="19">
        <v>90.0</v>
      </c>
      <c r="C19" s="21" t="s">
        <v>18</v>
      </c>
      <c r="E19" s="11" t="s">
        <v>46</v>
      </c>
      <c r="F19" s="12">
        <f>SUM(F3:F15)</f>
        <v>620</v>
      </c>
    </row>
    <row r="20" ht="14.25" customHeight="1">
      <c r="A20" s="21" t="s">
        <v>97</v>
      </c>
      <c r="B20" s="19">
        <v>90.0</v>
      </c>
      <c r="C20" s="21" t="s">
        <v>18</v>
      </c>
    </row>
    <row r="21" ht="14.25" customHeight="1">
      <c r="A21" s="21" t="s">
        <v>100</v>
      </c>
      <c r="B21" s="19">
        <v>20.0</v>
      </c>
      <c r="C21" s="21" t="s">
        <v>558</v>
      </c>
    </row>
    <row r="22" ht="14.25" customHeight="1">
      <c r="A22" s="21" t="s">
        <v>544</v>
      </c>
      <c r="B22" s="19">
        <v>20.0</v>
      </c>
      <c r="C22" s="21" t="s">
        <v>579</v>
      </c>
    </row>
    <row r="23" ht="14.25" customHeight="1">
      <c r="A23" s="21" t="s">
        <v>265</v>
      </c>
      <c r="B23" s="19">
        <v>90.0</v>
      </c>
      <c r="C23" s="21" t="s">
        <v>27</v>
      </c>
    </row>
    <row r="24" ht="14.25" customHeight="1">
      <c r="A24" s="21" t="s">
        <v>116</v>
      </c>
      <c r="B24" s="19">
        <v>-30.0</v>
      </c>
      <c r="C24" s="21" t="s">
        <v>580</v>
      </c>
    </row>
    <row r="25" ht="14.25" customHeight="1">
      <c r="A25" s="21" t="s">
        <v>544</v>
      </c>
      <c r="B25" s="19">
        <v>20.0</v>
      </c>
      <c r="C25" s="21" t="s">
        <v>580</v>
      </c>
    </row>
    <row r="26" ht="14.25" customHeight="1">
      <c r="A26" s="21" t="s">
        <v>293</v>
      </c>
      <c r="B26" s="19">
        <v>90.0</v>
      </c>
      <c r="C26" s="21" t="s">
        <v>18</v>
      </c>
    </row>
    <row r="27" ht="14.25" customHeight="1">
      <c r="A27" s="21" t="s">
        <v>208</v>
      </c>
      <c r="B27" s="19">
        <v>90.0</v>
      </c>
      <c r="C27" s="21" t="s">
        <v>18</v>
      </c>
    </row>
    <row r="28" ht="14.25" customHeight="1">
      <c r="A28" s="21" t="s">
        <v>365</v>
      </c>
      <c r="B28" s="19">
        <v>90.0</v>
      </c>
      <c r="C28" s="21" t="s">
        <v>18</v>
      </c>
    </row>
    <row r="29" ht="14.25" customHeight="1">
      <c r="A29" s="21" t="s">
        <v>581</v>
      </c>
      <c r="B29" s="19">
        <v>20.0</v>
      </c>
      <c r="C29" s="21" t="s">
        <v>580</v>
      </c>
    </row>
    <row r="30" ht="14.25" customHeight="1">
      <c r="A30" s="21" t="s">
        <v>33</v>
      </c>
      <c r="B30" s="19">
        <v>20.0</v>
      </c>
      <c r="C30" s="21" t="s">
        <v>580</v>
      </c>
    </row>
    <row r="31" ht="14.25" customHeight="1">
      <c r="A31" s="21" t="s">
        <v>341</v>
      </c>
      <c r="B31" s="19">
        <v>20.0</v>
      </c>
      <c r="C31" s="21" t="s">
        <v>582</v>
      </c>
    </row>
    <row r="32" ht="14.25" customHeight="1">
      <c r="A32" s="21" t="s">
        <v>67</v>
      </c>
      <c r="B32" s="19">
        <v>-30.0</v>
      </c>
      <c r="C32" s="21" t="s">
        <v>582</v>
      </c>
    </row>
    <row r="33" ht="14.25" customHeight="1">
      <c r="A33" s="21" t="s">
        <v>534</v>
      </c>
      <c r="B33" s="19">
        <v>-500.0</v>
      </c>
      <c r="C33" s="21" t="s">
        <v>583</v>
      </c>
    </row>
    <row r="34" ht="14.25" customHeight="1">
      <c r="A34" s="21" t="s">
        <v>584</v>
      </c>
      <c r="B34" s="19">
        <v>400.0</v>
      </c>
      <c r="C34" s="21" t="s">
        <v>585</v>
      </c>
    </row>
    <row r="35" ht="14.25" customHeight="1">
      <c r="A35" s="21" t="s">
        <v>544</v>
      </c>
      <c r="B35" s="19">
        <v>20.0</v>
      </c>
      <c r="C35" s="21" t="s">
        <v>577</v>
      </c>
    </row>
    <row r="36" ht="14.25" customHeight="1">
      <c r="A36" s="21" t="s">
        <v>260</v>
      </c>
      <c r="B36" s="19">
        <v>20.0</v>
      </c>
      <c r="C36" s="21" t="s">
        <v>577</v>
      </c>
    </row>
    <row r="37" ht="14.25" customHeight="1">
      <c r="A37" s="21" t="s">
        <v>243</v>
      </c>
      <c r="B37" s="19">
        <v>20.0</v>
      </c>
      <c r="C37" s="21" t="s">
        <v>577</v>
      </c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21"/>
      <c r="C40" s="21"/>
    </row>
    <row r="41" ht="14.25" customHeight="1">
      <c r="A41" s="51" t="s">
        <v>106</v>
      </c>
      <c r="B41" s="52">
        <f>SUM(B3:B40)</f>
        <v>1625.72</v>
      </c>
      <c r="C41" s="51"/>
    </row>
    <row r="42" ht="14.25" customHeight="1">
      <c r="B42" s="44"/>
    </row>
    <row r="43" ht="14.25" customHeight="1">
      <c r="B43" s="44"/>
    </row>
    <row r="44" ht="14.25" customHeight="1">
      <c r="A44" s="59"/>
      <c r="B44" s="60"/>
      <c r="C44" s="59"/>
    </row>
    <row r="45" ht="14.25" customHeight="1">
      <c r="B45" s="44"/>
    </row>
    <row r="46" ht="14.25" customHeight="1">
      <c r="B46" s="44"/>
    </row>
    <row r="47" ht="14.25" customHeight="1">
      <c r="B47" s="44"/>
    </row>
    <row r="48" ht="14.25" customHeight="1">
      <c r="B48" s="44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7.14"/>
    <col customWidth="1" min="3" max="3" width="6.57"/>
    <col customWidth="1" min="4" max="4" width="10.71"/>
    <col customWidth="1" min="5" max="5" width="10.57"/>
    <col customWidth="1" min="6" max="6" width="11.57"/>
    <col customWidth="1" min="7" max="7" width="14.71"/>
    <col customWidth="1" min="8" max="8" width="18.14"/>
    <col customWidth="1" min="9" max="9" width="12.57"/>
    <col customWidth="1" min="10" max="10" width="6.0"/>
    <col customWidth="1" min="11" max="11" width="13.29"/>
    <col customWidth="1" min="12" max="28" width="8.71"/>
  </cols>
  <sheetData>
    <row r="1" ht="14.25" customHeight="1">
      <c r="A1" s="6" t="s">
        <v>4</v>
      </c>
      <c r="B1" s="66" t="s">
        <v>376</v>
      </c>
      <c r="C1" s="67"/>
      <c r="D1" s="68" t="s">
        <v>377</v>
      </c>
      <c r="E1" s="6" t="s">
        <v>378</v>
      </c>
      <c r="F1" s="6" t="s">
        <v>379</v>
      </c>
      <c r="G1" s="6" t="s">
        <v>380</v>
      </c>
      <c r="H1" s="69" t="s">
        <v>381</v>
      </c>
      <c r="I1" s="70" t="s">
        <v>382</v>
      </c>
      <c r="J1" s="71"/>
      <c r="K1" s="68" t="s">
        <v>383</v>
      </c>
    </row>
    <row r="2" ht="14.25" customHeight="1">
      <c r="A2" s="21" t="s">
        <v>348</v>
      </c>
      <c r="B2" s="37">
        <v>3.0</v>
      </c>
      <c r="C2" s="67"/>
      <c r="D2" s="82">
        <v>4.0</v>
      </c>
      <c r="E2" s="21">
        <v>0.0</v>
      </c>
      <c r="F2" s="21">
        <v>0.0</v>
      </c>
      <c r="G2" s="11">
        <f t="shared" ref="G2:G53" si="1">D2+E2+F2</f>
        <v>4</v>
      </c>
      <c r="H2" s="74">
        <f t="shared" ref="H2:H53" si="2">K2/(G2*3)</f>
        <v>1</v>
      </c>
      <c r="I2" s="75">
        <f t="shared" ref="I2:I53" si="3">B2/G2</f>
        <v>0.75</v>
      </c>
      <c r="J2" s="67"/>
      <c r="K2" s="77">
        <f t="shared" ref="K2:K53" si="4">D2*3+E2*1+F2*0</f>
        <v>12</v>
      </c>
      <c r="N2" s="78"/>
    </row>
    <row r="3" ht="14.25" customHeight="1">
      <c r="A3" s="21" t="s">
        <v>447</v>
      </c>
      <c r="B3" s="81">
        <v>0.0</v>
      </c>
      <c r="C3" s="67"/>
      <c r="D3" s="82">
        <v>1.0</v>
      </c>
      <c r="E3" s="21">
        <v>0.0</v>
      </c>
      <c r="F3" s="21">
        <v>0.0</v>
      </c>
      <c r="G3" s="11">
        <f t="shared" si="1"/>
        <v>1</v>
      </c>
      <c r="H3" s="74">
        <f t="shared" si="2"/>
        <v>1</v>
      </c>
      <c r="I3" s="75">
        <f t="shared" si="3"/>
        <v>0</v>
      </c>
      <c r="J3" s="67"/>
      <c r="K3" s="77">
        <f t="shared" si="4"/>
        <v>3</v>
      </c>
    </row>
    <row r="4" ht="14.25" customHeight="1">
      <c r="A4" s="16" t="s">
        <v>578</v>
      </c>
      <c r="B4" s="37">
        <v>0.0</v>
      </c>
      <c r="C4" s="67"/>
      <c r="D4" s="73">
        <v>1.0</v>
      </c>
      <c r="E4" s="16">
        <v>0.0</v>
      </c>
      <c r="F4" s="16">
        <v>0.0</v>
      </c>
      <c r="G4" s="11">
        <f t="shared" si="1"/>
        <v>1</v>
      </c>
      <c r="H4" s="74">
        <f t="shared" si="2"/>
        <v>1</v>
      </c>
      <c r="I4" s="75">
        <f t="shared" si="3"/>
        <v>0</v>
      </c>
      <c r="J4" s="76"/>
      <c r="K4" s="77">
        <f t="shared" si="4"/>
        <v>3</v>
      </c>
    </row>
    <row r="5" ht="14.25" customHeight="1">
      <c r="A5" s="21" t="s">
        <v>221</v>
      </c>
      <c r="B5" s="37">
        <v>0.0</v>
      </c>
      <c r="C5" s="67"/>
      <c r="D5" s="82">
        <v>1.0</v>
      </c>
      <c r="E5" s="21">
        <v>0.0</v>
      </c>
      <c r="F5" s="21">
        <v>0.0</v>
      </c>
      <c r="G5" s="11">
        <f t="shared" si="1"/>
        <v>1</v>
      </c>
      <c r="H5" s="74">
        <f t="shared" si="2"/>
        <v>1</v>
      </c>
      <c r="I5" s="75">
        <f t="shared" si="3"/>
        <v>0</v>
      </c>
      <c r="J5" s="67"/>
      <c r="K5" s="77">
        <f t="shared" si="4"/>
        <v>3</v>
      </c>
    </row>
    <row r="6" ht="14.25" customHeight="1">
      <c r="A6" s="21" t="s">
        <v>261</v>
      </c>
      <c r="B6" s="37">
        <v>5.0</v>
      </c>
      <c r="C6" s="67"/>
      <c r="D6" s="82">
        <v>3.0</v>
      </c>
      <c r="E6" s="21">
        <v>0.0</v>
      </c>
      <c r="F6" s="21">
        <v>1.0</v>
      </c>
      <c r="G6" s="11">
        <f t="shared" si="1"/>
        <v>4</v>
      </c>
      <c r="H6" s="74">
        <f t="shared" si="2"/>
        <v>0.75</v>
      </c>
      <c r="I6" s="75">
        <f t="shared" si="3"/>
        <v>1.25</v>
      </c>
      <c r="J6" s="67"/>
      <c r="K6" s="77">
        <f t="shared" si="4"/>
        <v>9</v>
      </c>
      <c r="N6" s="78"/>
    </row>
    <row r="7" ht="14.25" customHeight="1">
      <c r="A7" s="21" t="s">
        <v>528</v>
      </c>
      <c r="B7" s="81">
        <v>3.0</v>
      </c>
      <c r="C7" s="67"/>
      <c r="D7" s="82">
        <v>2.0</v>
      </c>
      <c r="E7" s="21">
        <v>0.0</v>
      </c>
      <c r="F7" s="21">
        <v>1.0</v>
      </c>
      <c r="G7" s="11">
        <f t="shared" si="1"/>
        <v>3</v>
      </c>
      <c r="H7" s="74">
        <f t="shared" si="2"/>
        <v>0.6666666667</v>
      </c>
      <c r="I7" s="75">
        <f t="shared" si="3"/>
        <v>1</v>
      </c>
      <c r="J7" s="67"/>
      <c r="K7" s="77">
        <f t="shared" si="4"/>
        <v>6</v>
      </c>
      <c r="N7" s="78"/>
    </row>
    <row r="8" ht="14.25" customHeight="1">
      <c r="A8" s="21" t="s">
        <v>100</v>
      </c>
      <c r="B8" s="37">
        <v>1.0</v>
      </c>
      <c r="C8" s="67"/>
      <c r="D8" s="82">
        <v>2.0</v>
      </c>
      <c r="E8" s="21">
        <v>0.0</v>
      </c>
      <c r="F8" s="21">
        <v>1.0</v>
      </c>
      <c r="G8" s="11">
        <f t="shared" si="1"/>
        <v>3</v>
      </c>
      <c r="H8" s="74">
        <f t="shared" si="2"/>
        <v>0.6666666667</v>
      </c>
      <c r="I8" s="75">
        <f t="shared" si="3"/>
        <v>0.3333333333</v>
      </c>
      <c r="J8" s="67"/>
      <c r="K8" s="77">
        <f t="shared" si="4"/>
        <v>6</v>
      </c>
      <c r="N8" s="78"/>
    </row>
    <row r="9" ht="14.25" customHeight="1">
      <c r="A9" s="21" t="s">
        <v>131</v>
      </c>
      <c r="B9" s="37">
        <v>1.0</v>
      </c>
      <c r="C9" s="67"/>
      <c r="D9" s="73">
        <v>5.0</v>
      </c>
      <c r="E9" s="16">
        <v>0.0</v>
      </c>
      <c r="F9" s="16">
        <v>3.0</v>
      </c>
      <c r="G9" s="11">
        <f t="shared" si="1"/>
        <v>8</v>
      </c>
      <c r="H9" s="74">
        <f t="shared" si="2"/>
        <v>0.625</v>
      </c>
      <c r="I9" s="75">
        <f t="shared" si="3"/>
        <v>0.125</v>
      </c>
      <c r="J9" s="76"/>
      <c r="K9" s="77">
        <f t="shared" si="4"/>
        <v>15</v>
      </c>
      <c r="N9" s="78"/>
    </row>
    <row r="10" ht="14.25" customHeight="1">
      <c r="A10" s="21" t="s">
        <v>56</v>
      </c>
      <c r="B10" s="37">
        <v>5.0</v>
      </c>
      <c r="C10" s="67"/>
      <c r="D10" s="82">
        <v>6.0</v>
      </c>
      <c r="E10" s="21">
        <v>0.0</v>
      </c>
      <c r="F10" s="21">
        <v>4.0</v>
      </c>
      <c r="G10" s="11">
        <f t="shared" si="1"/>
        <v>10</v>
      </c>
      <c r="H10" s="74">
        <f t="shared" si="2"/>
        <v>0.6</v>
      </c>
      <c r="I10" s="75">
        <f t="shared" si="3"/>
        <v>0.5</v>
      </c>
      <c r="J10" s="67"/>
      <c r="K10" s="77">
        <f t="shared" si="4"/>
        <v>18</v>
      </c>
    </row>
    <row r="11" ht="14.25" customHeight="1">
      <c r="A11" s="21" t="s">
        <v>243</v>
      </c>
      <c r="B11" s="37">
        <v>3.0</v>
      </c>
      <c r="C11" s="67"/>
      <c r="D11" s="82">
        <v>3.0</v>
      </c>
      <c r="E11" s="21">
        <v>0.0</v>
      </c>
      <c r="F11" s="21">
        <v>2.0</v>
      </c>
      <c r="G11" s="11">
        <f t="shared" si="1"/>
        <v>5</v>
      </c>
      <c r="H11" s="74">
        <f t="shared" si="2"/>
        <v>0.6</v>
      </c>
      <c r="I11" s="75">
        <f t="shared" si="3"/>
        <v>0.6</v>
      </c>
      <c r="J11" s="67"/>
      <c r="K11" s="77">
        <f t="shared" si="4"/>
        <v>9</v>
      </c>
      <c r="N11" s="78"/>
    </row>
    <row r="12" ht="14.25" customHeight="1">
      <c r="A12" s="21" t="s">
        <v>385</v>
      </c>
      <c r="B12" s="81">
        <v>2.0</v>
      </c>
      <c r="C12" s="67"/>
      <c r="D12" s="82">
        <v>3.0</v>
      </c>
      <c r="E12" s="21">
        <v>0.0</v>
      </c>
      <c r="F12" s="21">
        <v>2.0</v>
      </c>
      <c r="G12" s="11">
        <f t="shared" si="1"/>
        <v>5</v>
      </c>
      <c r="H12" s="74">
        <f t="shared" si="2"/>
        <v>0.6</v>
      </c>
      <c r="I12" s="75">
        <f t="shared" si="3"/>
        <v>0.4</v>
      </c>
      <c r="J12" s="67"/>
      <c r="K12" s="77">
        <f t="shared" si="4"/>
        <v>9</v>
      </c>
      <c r="N12" s="78"/>
      <c r="R12" s="36"/>
    </row>
    <row r="13" ht="14.25" customHeight="1">
      <c r="A13" s="98" t="s">
        <v>396</v>
      </c>
      <c r="B13" s="81">
        <v>34.0</v>
      </c>
      <c r="C13" s="67"/>
      <c r="D13" s="82">
        <v>22.0</v>
      </c>
      <c r="E13" s="21">
        <v>1.0</v>
      </c>
      <c r="F13" s="21">
        <v>15.0</v>
      </c>
      <c r="G13" s="11">
        <f t="shared" si="1"/>
        <v>38</v>
      </c>
      <c r="H13" s="74">
        <f t="shared" si="2"/>
        <v>0.5877192982</v>
      </c>
      <c r="I13" s="75">
        <f t="shared" si="3"/>
        <v>0.8947368421</v>
      </c>
      <c r="J13" s="67"/>
      <c r="K13" s="77">
        <f t="shared" si="4"/>
        <v>67</v>
      </c>
    </row>
    <row r="14" ht="14.25" customHeight="1">
      <c r="A14" s="21" t="s">
        <v>126</v>
      </c>
      <c r="B14" s="37">
        <v>10.0</v>
      </c>
      <c r="C14" s="67"/>
      <c r="D14" s="82">
        <v>12.0</v>
      </c>
      <c r="E14" s="21">
        <v>1.0</v>
      </c>
      <c r="F14" s="21">
        <v>8.0</v>
      </c>
      <c r="G14" s="11">
        <f t="shared" si="1"/>
        <v>21</v>
      </c>
      <c r="H14" s="74">
        <f t="shared" si="2"/>
        <v>0.5873015873</v>
      </c>
      <c r="I14" s="75">
        <f t="shared" si="3"/>
        <v>0.4761904762</v>
      </c>
      <c r="J14" s="67"/>
      <c r="K14" s="77">
        <f t="shared" si="4"/>
        <v>37</v>
      </c>
    </row>
    <row r="15" ht="14.25" customHeight="1">
      <c r="A15" s="99" t="s">
        <v>19</v>
      </c>
      <c r="B15" s="37">
        <v>109.0</v>
      </c>
      <c r="C15" s="67"/>
      <c r="D15" s="73">
        <v>27.0</v>
      </c>
      <c r="E15" s="16">
        <v>1.0</v>
      </c>
      <c r="F15" s="16">
        <v>19.0</v>
      </c>
      <c r="G15" s="11">
        <f t="shared" si="1"/>
        <v>47</v>
      </c>
      <c r="H15" s="74">
        <f t="shared" si="2"/>
        <v>0.5815602837</v>
      </c>
      <c r="I15" s="75">
        <f t="shared" si="3"/>
        <v>2.319148936</v>
      </c>
      <c r="J15" s="76"/>
      <c r="K15" s="77">
        <f t="shared" si="4"/>
        <v>82</v>
      </c>
      <c r="N15" s="78"/>
    </row>
    <row r="16" ht="14.25" customHeight="1">
      <c r="A16" s="29" t="s">
        <v>41</v>
      </c>
      <c r="B16" s="16">
        <v>44.0</v>
      </c>
      <c r="C16" s="67"/>
      <c r="D16" s="73">
        <v>11.0</v>
      </c>
      <c r="E16" s="16">
        <v>0.0</v>
      </c>
      <c r="F16" s="16">
        <v>8.0</v>
      </c>
      <c r="G16" s="11">
        <f t="shared" si="1"/>
        <v>19</v>
      </c>
      <c r="H16" s="74">
        <f t="shared" si="2"/>
        <v>0.5789473684</v>
      </c>
      <c r="I16" s="75">
        <f t="shared" si="3"/>
        <v>2.315789474</v>
      </c>
      <c r="J16" s="76"/>
      <c r="K16" s="77">
        <f t="shared" si="4"/>
        <v>33</v>
      </c>
      <c r="N16" s="78"/>
    </row>
    <row r="17" ht="14.25" customHeight="1">
      <c r="A17" s="100" t="s">
        <v>53</v>
      </c>
      <c r="B17" s="16">
        <v>49.0</v>
      </c>
      <c r="C17" s="67"/>
      <c r="D17" s="73">
        <v>28.0</v>
      </c>
      <c r="E17" s="16">
        <v>1.0</v>
      </c>
      <c r="F17" s="16">
        <v>20.0</v>
      </c>
      <c r="G17" s="11">
        <f t="shared" si="1"/>
        <v>49</v>
      </c>
      <c r="H17" s="74">
        <f t="shared" si="2"/>
        <v>0.5782312925</v>
      </c>
      <c r="I17" s="75">
        <f t="shared" si="3"/>
        <v>1</v>
      </c>
      <c r="J17" s="76"/>
      <c r="K17" s="77">
        <f t="shared" si="4"/>
        <v>85</v>
      </c>
    </row>
    <row r="18" ht="14.25" customHeight="1">
      <c r="A18" s="101" t="s">
        <v>26</v>
      </c>
      <c r="B18" s="16">
        <v>27.0</v>
      </c>
      <c r="D18" s="16">
        <v>28.0</v>
      </c>
      <c r="E18" s="16">
        <v>1.0</v>
      </c>
      <c r="F18" s="16">
        <v>21.0</v>
      </c>
      <c r="G18" s="11">
        <f t="shared" si="1"/>
        <v>50</v>
      </c>
      <c r="H18" s="74">
        <f t="shared" si="2"/>
        <v>0.5666666667</v>
      </c>
      <c r="I18" s="86">
        <f t="shared" si="3"/>
        <v>0.54</v>
      </c>
      <c r="J18" s="94"/>
      <c r="K18" s="11">
        <f t="shared" si="4"/>
        <v>85</v>
      </c>
      <c r="N18" s="78"/>
    </row>
    <row r="19" ht="14.25" customHeight="1">
      <c r="A19" s="21" t="s">
        <v>290</v>
      </c>
      <c r="B19" s="16">
        <v>2.0</v>
      </c>
      <c r="D19" s="21">
        <v>5.0</v>
      </c>
      <c r="E19" s="21">
        <v>0.0</v>
      </c>
      <c r="F19" s="21">
        <v>4.0</v>
      </c>
      <c r="G19" s="11">
        <f t="shared" si="1"/>
        <v>9</v>
      </c>
      <c r="H19" s="74">
        <f t="shared" si="2"/>
        <v>0.5555555556</v>
      </c>
      <c r="I19" s="86">
        <f t="shared" si="3"/>
        <v>0.2222222222</v>
      </c>
      <c r="K19" s="11">
        <f t="shared" si="4"/>
        <v>15</v>
      </c>
      <c r="N19" s="78"/>
    </row>
    <row r="20" ht="14.25" customHeight="1">
      <c r="A20" s="102" t="s">
        <v>356</v>
      </c>
      <c r="B20" s="21">
        <v>53.0</v>
      </c>
      <c r="D20" s="16">
        <v>16.0</v>
      </c>
      <c r="E20" s="16">
        <v>1.0</v>
      </c>
      <c r="F20" s="16">
        <v>14.0</v>
      </c>
      <c r="G20" s="11">
        <f t="shared" si="1"/>
        <v>31</v>
      </c>
      <c r="H20" s="74">
        <f t="shared" si="2"/>
        <v>0.5268817204</v>
      </c>
      <c r="I20" s="86">
        <f t="shared" si="3"/>
        <v>1.709677419</v>
      </c>
      <c r="J20" s="94"/>
      <c r="K20" s="11">
        <f t="shared" si="4"/>
        <v>49</v>
      </c>
      <c r="N20" s="78"/>
    </row>
    <row r="21" ht="14.25" customHeight="1">
      <c r="A21" s="20" t="s">
        <v>97</v>
      </c>
      <c r="B21" s="16">
        <v>15.0</v>
      </c>
      <c r="D21" s="16">
        <v>18.0</v>
      </c>
      <c r="E21" s="16">
        <v>1.0</v>
      </c>
      <c r="F21" s="16">
        <v>16.0</v>
      </c>
      <c r="G21" s="11">
        <f t="shared" si="1"/>
        <v>35</v>
      </c>
      <c r="H21" s="74">
        <f t="shared" si="2"/>
        <v>0.5238095238</v>
      </c>
      <c r="I21" s="86">
        <f t="shared" si="3"/>
        <v>0.4285714286</v>
      </c>
      <c r="J21" s="94"/>
      <c r="K21" s="11">
        <f t="shared" si="4"/>
        <v>55</v>
      </c>
      <c r="N21" s="78"/>
    </row>
    <row r="22" ht="14.25" customHeight="1">
      <c r="A22" s="16" t="s">
        <v>209</v>
      </c>
      <c r="B22" s="16">
        <v>6.0</v>
      </c>
      <c r="D22" s="16">
        <v>3.0</v>
      </c>
      <c r="E22" s="16">
        <v>0.0</v>
      </c>
      <c r="F22" s="16">
        <v>3.0</v>
      </c>
      <c r="G22" s="11">
        <f t="shared" si="1"/>
        <v>6</v>
      </c>
      <c r="H22" s="74">
        <f t="shared" si="2"/>
        <v>0.5</v>
      </c>
      <c r="I22" s="86">
        <f t="shared" si="3"/>
        <v>1</v>
      </c>
      <c r="J22" s="94"/>
      <c r="K22" s="11">
        <f t="shared" si="4"/>
        <v>9</v>
      </c>
    </row>
    <row r="23" ht="14.25" customHeight="1">
      <c r="A23" s="21" t="s">
        <v>431</v>
      </c>
      <c r="B23" s="16">
        <v>8.0</v>
      </c>
      <c r="D23" s="21">
        <v>2.0</v>
      </c>
      <c r="E23" s="21">
        <v>0.0</v>
      </c>
      <c r="F23" s="21">
        <v>2.0</v>
      </c>
      <c r="G23" s="11">
        <f t="shared" si="1"/>
        <v>4</v>
      </c>
      <c r="H23" s="74">
        <f t="shared" si="2"/>
        <v>0.5</v>
      </c>
      <c r="I23" s="86">
        <f t="shared" si="3"/>
        <v>2</v>
      </c>
      <c r="K23" s="11">
        <f t="shared" si="4"/>
        <v>6</v>
      </c>
    </row>
    <row r="24" ht="14.25" customHeight="1">
      <c r="A24" s="21" t="s">
        <v>500</v>
      </c>
      <c r="B24" s="21">
        <v>3.0</v>
      </c>
      <c r="D24" s="21">
        <v>1.0</v>
      </c>
      <c r="E24" s="21">
        <v>0.0</v>
      </c>
      <c r="F24" s="21">
        <v>1.0</v>
      </c>
      <c r="G24" s="11">
        <f t="shared" si="1"/>
        <v>2</v>
      </c>
      <c r="H24" s="74">
        <f t="shared" si="2"/>
        <v>0.5</v>
      </c>
      <c r="I24" s="86">
        <f t="shared" si="3"/>
        <v>1.5</v>
      </c>
      <c r="K24" s="11">
        <f t="shared" si="4"/>
        <v>3</v>
      </c>
    </row>
    <row r="25" ht="14.25" customHeight="1">
      <c r="A25" s="21" t="s">
        <v>591</v>
      </c>
      <c r="B25" s="16">
        <v>1.0</v>
      </c>
      <c r="D25" s="21">
        <v>1.0</v>
      </c>
      <c r="E25" s="21">
        <v>0.0</v>
      </c>
      <c r="F25" s="21">
        <v>1.0</v>
      </c>
      <c r="G25" s="11">
        <f t="shared" si="1"/>
        <v>2</v>
      </c>
      <c r="H25" s="74">
        <f t="shared" si="2"/>
        <v>0.5</v>
      </c>
      <c r="I25" s="86">
        <f t="shared" si="3"/>
        <v>0.5</v>
      </c>
      <c r="K25" s="11">
        <f t="shared" si="4"/>
        <v>3</v>
      </c>
    </row>
    <row r="26" ht="14.25" customHeight="1">
      <c r="A26" s="21" t="s">
        <v>95</v>
      </c>
      <c r="B26" s="21">
        <v>0.0</v>
      </c>
      <c r="D26" s="21">
        <v>1.0</v>
      </c>
      <c r="E26" s="21">
        <v>0.0</v>
      </c>
      <c r="F26" s="21">
        <v>1.0</v>
      </c>
      <c r="G26" s="11">
        <f t="shared" si="1"/>
        <v>2</v>
      </c>
      <c r="H26" s="74">
        <f t="shared" si="2"/>
        <v>0.5</v>
      </c>
      <c r="I26" s="86">
        <f t="shared" si="3"/>
        <v>0</v>
      </c>
      <c r="K26" s="11">
        <f t="shared" si="4"/>
        <v>3</v>
      </c>
    </row>
    <row r="27" ht="14.25" customHeight="1">
      <c r="A27" s="11" t="s">
        <v>74</v>
      </c>
      <c r="B27" s="16">
        <v>14.0</v>
      </c>
      <c r="D27" s="16">
        <v>20.0</v>
      </c>
      <c r="E27" s="16">
        <v>1.0</v>
      </c>
      <c r="F27" s="16">
        <v>20.0</v>
      </c>
      <c r="G27" s="11">
        <f t="shared" si="1"/>
        <v>41</v>
      </c>
      <c r="H27" s="74">
        <f t="shared" si="2"/>
        <v>0.4959349593</v>
      </c>
      <c r="I27" s="86">
        <f t="shared" si="3"/>
        <v>0.3414634146</v>
      </c>
      <c r="J27" s="94"/>
      <c r="K27" s="11">
        <f t="shared" si="4"/>
        <v>61</v>
      </c>
    </row>
    <row r="28" ht="14.25" customHeight="1">
      <c r="A28" s="16" t="s">
        <v>208</v>
      </c>
      <c r="B28" s="16">
        <v>8.0</v>
      </c>
      <c r="D28" s="16">
        <v>12.0</v>
      </c>
      <c r="E28" s="16">
        <v>0.0</v>
      </c>
      <c r="F28" s="16">
        <v>13.0</v>
      </c>
      <c r="G28" s="11">
        <f t="shared" si="1"/>
        <v>25</v>
      </c>
      <c r="H28" s="74">
        <f t="shared" si="2"/>
        <v>0.48</v>
      </c>
      <c r="I28" s="86">
        <f t="shared" si="3"/>
        <v>0.32</v>
      </c>
      <c r="J28" s="94"/>
      <c r="K28" s="11">
        <f t="shared" si="4"/>
        <v>36</v>
      </c>
      <c r="N28" s="78"/>
    </row>
    <row r="29" ht="14.25" customHeight="1">
      <c r="A29" s="21" t="s">
        <v>37</v>
      </c>
      <c r="B29" s="16">
        <v>26.0</v>
      </c>
      <c r="D29" s="21">
        <v>12.0</v>
      </c>
      <c r="E29" s="21">
        <v>1.0</v>
      </c>
      <c r="F29" s="21">
        <v>13.0</v>
      </c>
      <c r="G29" s="11">
        <f t="shared" si="1"/>
        <v>26</v>
      </c>
      <c r="H29" s="74">
        <f t="shared" si="2"/>
        <v>0.4743589744</v>
      </c>
      <c r="I29" s="86">
        <f t="shared" si="3"/>
        <v>1</v>
      </c>
      <c r="K29" s="11">
        <f t="shared" si="4"/>
        <v>37</v>
      </c>
    </row>
    <row r="30" ht="14.25" customHeight="1">
      <c r="A30" s="16" t="s">
        <v>183</v>
      </c>
      <c r="B30" s="16">
        <v>7.0</v>
      </c>
      <c r="D30" s="16">
        <v>7.0</v>
      </c>
      <c r="E30" s="16">
        <v>1.0</v>
      </c>
      <c r="F30" s="16">
        <v>8.0</v>
      </c>
      <c r="G30" s="11">
        <f t="shared" si="1"/>
        <v>16</v>
      </c>
      <c r="H30" s="74">
        <f t="shared" si="2"/>
        <v>0.4583333333</v>
      </c>
      <c r="I30" s="86">
        <f t="shared" si="3"/>
        <v>0.4375</v>
      </c>
      <c r="J30" s="94"/>
      <c r="K30" s="11">
        <f t="shared" si="4"/>
        <v>22</v>
      </c>
    </row>
    <row r="31" ht="14.25" customHeight="1">
      <c r="A31" s="16" t="s">
        <v>39</v>
      </c>
      <c r="B31" s="16">
        <v>8.0</v>
      </c>
      <c r="D31" s="16">
        <v>17.0</v>
      </c>
      <c r="E31" s="16">
        <v>1.0</v>
      </c>
      <c r="F31" s="16">
        <v>20.0</v>
      </c>
      <c r="G31" s="11">
        <f t="shared" si="1"/>
        <v>38</v>
      </c>
      <c r="H31" s="74">
        <f t="shared" si="2"/>
        <v>0.4561403509</v>
      </c>
      <c r="I31" s="86">
        <f t="shared" si="3"/>
        <v>0.2105263158</v>
      </c>
      <c r="J31" s="94"/>
      <c r="K31" s="11">
        <f t="shared" si="4"/>
        <v>52</v>
      </c>
    </row>
    <row r="32" ht="14.25" customHeight="1">
      <c r="A32" s="21" t="s">
        <v>60</v>
      </c>
      <c r="B32" s="16">
        <v>48.0</v>
      </c>
      <c r="D32" s="16">
        <v>20.0</v>
      </c>
      <c r="E32" s="16">
        <v>1.0</v>
      </c>
      <c r="F32" s="16">
        <v>26.0</v>
      </c>
      <c r="G32" s="11">
        <f t="shared" si="1"/>
        <v>47</v>
      </c>
      <c r="H32" s="74">
        <f t="shared" si="2"/>
        <v>0.4326241135</v>
      </c>
      <c r="I32" s="86">
        <f t="shared" si="3"/>
        <v>1.021276596</v>
      </c>
      <c r="J32" s="94"/>
      <c r="K32" s="11">
        <f t="shared" si="4"/>
        <v>61</v>
      </c>
      <c r="N32" s="78"/>
    </row>
    <row r="33" ht="14.25" customHeight="1">
      <c r="A33" s="11" t="s">
        <v>33</v>
      </c>
      <c r="B33" s="16">
        <v>31.0</v>
      </c>
      <c r="D33" s="16">
        <v>12.0</v>
      </c>
      <c r="E33" s="16">
        <v>0.0</v>
      </c>
      <c r="F33" s="16">
        <v>16.0</v>
      </c>
      <c r="G33" s="11">
        <f t="shared" si="1"/>
        <v>28</v>
      </c>
      <c r="H33" s="74">
        <f t="shared" si="2"/>
        <v>0.4285714286</v>
      </c>
      <c r="I33" s="86">
        <f t="shared" si="3"/>
        <v>1.107142857</v>
      </c>
      <c r="J33" s="94"/>
      <c r="K33" s="11">
        <f t="shared" si="4"/>
        <v>36</v>
      </c>
      <c r="N33" s="78"/>
    </row>
    <row r="34" ht="14.25" customHeight="1">
      <c r="A34" s="16" t="s">
        <v>28</v>
      </c>
      <c r="B34" s="16">
        <v>2.0</v>
      </c>
      <c r="D34" s="16">
        <v>3.0</v>
      </c>
      <c r="E34" s="16">
        <v>0.0</v>
      </c>
      <c r="F34" s="16">
        <v>4.0</v>
      </c>
      <c r="G34" s="11">
        <f t="shared" si="1"/>
        <v>7</v>
      </c>
      <c r="H34" s="74">
        <f t="shared" si="2"/>
        <v>0.4285714286</v>
      </c>
      <c r="I34" s="86">
        <f t="shared" si="3"/>
        <v>0.2857142857</v>
      </c>
      <c r="J34" s="94"/>
      <c r="K34" s="11">
        <f t="shared" si="4"/>
        <v>9</v>
      </c>
      <c r="N34" s="78"/>
    </row>
    <row r="35" ht="14.25" customHeight="1">
      <c r="A35" s="16" t="s">
        <v>269</v>
      </c>
      <c r="B35" s="16">
        <v>26.0</v>
      </c>
      <c r="D35" s="16">
        <v>8.0</v>
      </c>
      <c r="E35" s="16">
        <v>1.0</v>
      </c>
      <c r="F35" s="16">
        <v>11.0</v>
      </c>
      <c r="G35" s="11">
        <f t="shared" si="1"/>
        <v>20</v>
      </c>
      <c r="H35" s="74">
        <f t="shared" si="2"/>
        <v>0.4166666667</v>
      </c>
      <c r="I35" s="86">
        <f t="shared" si="3"/>
        <v>1.3</v>
      </c>
      <c r="J35" s="47"/>
      <c r="K35" s="11">
        <f t="shared" si="4"/>
        <v>25</v>
      </c>
      <c r="N35" s="78"/>
    </row>
    <row r="36" ht="14.25" customHeight="1">
      <c r="A36" s="11" t="s">
        <v>42</v>
      </c>
      <c r="B36" s="16">
        <v>14.0</v>
      </c>
      <c r="D36" s="16">
        <v>12.0</v>
      </c>
      <c r="E36" s="16">
        <v>1.0</v>
      </c>
      <c r="F36" s="16">
        <v>17.0</v>
      </c>
      <c r="G36" s="11">
        <f t="shared" si="1"/>
        <v>30</v>
      </c>
      <c r="H36" s="74">
        <f t="shared" si="2"/>
        <v>0.4111111111</v>
      </c>
      <c r="I36" s="86">
        <f t="shared" si="3"/>
        <v>0.4666666667</v>
      </c>
      <c r="J36" s="94"/>
      <c r="K36" s="11">
        <f t="shared" si="4"/>
        <v>37</v>
      </c>
    </row>
    <row r="37" ht="14.25" customHeight="1">
      <c r="A37" s="16" t="s">
        <v>293</v>
      </c>
      <c r="B37" s="16">
        <v>12.0</v>
      </c>
      <c r="D37" s="16">
        <v>15.0</v>
      </c>
      <c r="E37" s="16">
        <v>0.0</v>
      </c>
      <c r="F37" s="16">
        <v>22.0</v>
      </c>
      <c r="G37" s="11">
        <f t="shared" si="1"/>
        <v>37</v>
      </c>
      <c r="H37" s="74">
        <f t="shared" si="2"/>
        <v>0.4054054054</v>
      </c>
      <c r="I37" s="86">
        <f t="shared" si="3"/>
        <v>0.3243243243</v>
      </c>
      <c r="J37" s="94"/>
      <c r="K37" s="11">
        <f t="shared" si="4"/>
        <v>45</v>
      </c>
      <c r="N37" s="78"/>
    </row>
    <row r="38" ht="14.25" customHeight="1">
      <c r="A38" s="21" t="s">
        <v>484</v>
      </c>
      <c r="B38" s="16">
        <v>10.0</v>
      </c>
      <c r="D38" s="21">
        <v>6.0</v>
      </c>
      <c r="E38" s="21">
        <v>0.0</v>
      </c>
      <c r="F38" s="21">
        <v>9.0</v>
      </c>
      <c r="G38" s="11">
        <f t="shared" si="1"/>
        <v>15</v>
      </c>
      <c r="H38" s="85">
        <f t="shared" si="2"/>
        <v>0.4</v>
      </c>
      <c r="I38" s="86">
        <f t="shared" si="3"/>
        <v>0.6666666667</v>
      </c>
      <c r="K38" s="11">
        <f t="shared" si="4"/>
        <v>18</v>
      </c>
      <c r="N38" s="78"/>
    </row>
    <row r="39" ht="14.25" customHeight="1">
      <c r="A39" s="21" t="s">
        <v>526</v>
      </c>
      <c r="B39" s="16">
        <v>7.0</v>
      </c>
      <c r="D39" s="21">
        <v>1.0</v>
      </c>
      <c r="E39" s="21">
        <v>0.0</v>
      </c>
      <c r="F39" s="21">
        <v>2.0</v>
      </c>
      <c r="G39" s="11">
        <f t="shared" si="1"/>
        <v>3</v>
      </c>
      <c r="H39" s="85">
        <f t="shared" si="2"/>
        <v>0.3333333333</v>
      </c>
      <c r="I39" s="86">
        <f t="shared" si="3"/>
        <v>2.333333333</v>
      </c>
      <c r="K39" s="11">
        <f t="shared" si="4"/>
        <v>3</v>
      </c>
      <c r="N39" s="78"/>
    </row>
    <row r="40" ht="14.25" customHeight="1">
      <c r="A40" s="21" t="s">
        <v>116</v>
      </c>
      <c r="B40" s="16">
        <v>3.0</v>
      </c>
      <c r="D40" s="21">
        <v>1.0</v>
      </c>
      <c r="E40" s="21">
        <v>0.0</v>
      </c>
      <c r="F40" s="21">
        <v>2.0</v>
      </c>
      <c r="G40" s="11">
        <f t="shared" si="1"/>
        <v>3</v>
      </c>
      <c r="H40" s="85">
        <f t="shared" si="2"/>
        <v>0.3333333333</v>
      </c>
      <c r="I40" s="86">
        <f t="shared" si="3"/>
        <v>1</v>
      </c>
      <c r="K40" s="11">
        <f t="shared" si="4"/>
        <v>3</v>
      </c>
    </row>
    <row r="41" ht="14.25" customHeight="1">
      <c r="A41" s="21" t="s">
        <v>213</v>
      </c>
      <c r="B41" s="16">
        <v>7.0</v>
      </c>
      <c r="D41" s="21">
        <v>1.0</v>
      </c>
      <c r="E41" s="21">
        <v>0.0</v>
      </c>
      <c r="F41" s="21">
        <v>3.0</v>
      </c>
      <c r="G41" s="11">
        <f t="shared" si="1"/>
        <v>4</v>
      </c>
      <c r="H41" s="85">
        <f t="shared" si="2"/>
        <v>0.25</v>
      </c>
      <c r="I41" s="86">
        <f t="shared" si="3"/>
        <v>1.75</v>
      </c>
      <c r="K41" s="11">
        <f t="shared" si="4"/>
        <v>3</v>
      </c>
    </row>
    <row r="42" ht="14.25" customHeight="1">
      <c r="A42" s="21" t="s">
        <v>603</v>
      </c>
      <c r="B42" s="21">
        <v>0.0</v>
      </c>
      <c r="D42" s="21">
        <v>1.0</v>
      </c>
      <c r="E42" s="21">
        <v>0.0</v>
      </c>
      <c r="F42" s="21">
        <v>5.0</v>
      </c>
      <c r="G42" s="11">
        <f t="shared" si="1"/>
        <v>6</v>
      </c>
      <c r="H42" s="85">
        <f t="shared" si="2"/>
        <v>0.1666666667</v>
      </c>
      <c r="I42" s="86">
        <f t="shared" si="3"/>
        <v>0</v>
      </c>
      <c r="K42" s="11">
        <f t="shared" si="4"/>
        <v>3</v>
      </c>
      <c r="U42" s="50"/>
      <c r="V42" s="50"/>
    </row>
    <row r="43" ht="14.25" customHeight="1">
      <c r="A43" s="21" t="s">
        <v>604</v>
      </c>
      <c r="B43" s="21">
        <v>1.0</v>
      </c>
      <c r="D43" s="21">
        <v>0.0</v>
      </c>
      <c r="E43" s="21">
        <v>0.0</v>
      </c>
      <c r="F43" s="21">
        <v>1.0</v>
      </c>
      <c r="G43" s="11">
        <f t="shared" si="1"/>
        <v>1</v>
      </c>
      <c r="H43" s="85">
        <f t="shared" si="2"/>
        <v>0</v>
      </c>
      <c r="I43" s="86">
        <f t="shared" si="3"/>
        <v>1</v>
      </c>
      <c r="K43" s="11">
        <f t="shared" si="4"/>
        <v>0</v>
      </c>
      <c r="N43" s="78"/>
      <c r="U43" s="50"/>
      <c r="V43" s="50"/>
    </row>
    <row r="44" ht="14.25" customHeight="1">
      <c r="A44" s="21" t="s">
        <v>223</v>
      </c>
      <c r="B44" s="16">
        <v>1.0</v>
      </c>
      <c r="D44" s="21">
        <v>0.0</v>
      </c>
      <c r="E44" s="21">
        <v>0.0</v>
      </c>
      <c r="F44" s="21">
        <v>1.0</v>
      </c>
      <c r="G44" s="11">
        <f t="shared" si="1"/>
        <v>1</v>
      </c>
      <c r="H44" s="85">
        <f t="shared" si="2"/>
        <v>0</v>
      </c>
      <c r="I44" s="86">
        <f t="shared" si="3"/>
        <v>1</v>
      </c>
      <c r="K44" s="11">
        <f t="shared" si="4"/>
        <v>0</v>
      </c>
    </row>
    <row r="45" ht="14.25" customHeight="1">
      <c r="A45" s="21" t="s">
        <v>408</v>
      </c>
      <c r="B45" s="16">
        <v>1.0</v>
      </c>
      <c r="D45" s="21">
        <v>0.0</v>
      </c>
      <c r="E45" s="21">
        <v>0.0</v>
      </c>
      <c r="F45" s="21">
        <v>1.0</v>
      </c>
      <c r="G45" s="11">
        <f t="shared" si="1"/>
        <v>1</v>
      </c>
      <c r="H45" s="85">
        <f t="shared" si="2"/>
        <v>0</v>
      </c>
      <c r="I45" s="86">
        <f t="shared" si="3"/>
        <v>1</v>
      </c>
      <c r="K45" s="11">
        <f t="shared" si="4"/>
        <v>0</v>
      </c>
    </row>
    <row r="46" ht="14.25" customHeight="1">
      <c r="A46" s="21" t="s">
        <v>451</v>
      </c>
      <c r="B46" s="16">
        <v>1.0</v>
      </c>
      <c r="D46" s="21">
        <v>0.0</v>
      </c>
      <c r="E46" s="21">
        <v>0.0</v>
      </c>
      <c r="F46" s="21">
        <v>3.0</v>
      </c>
      <c r="G46" s="11">
        <f t="shared" si="1"/>
        <v>3</v>
      </c>
      <c r="H46" s="85">
        <f t="shared" si="2"/>
        <v>0</v>
      </c>
      <c r="I46" s="86">
        <f t="shared" si="3"/>
        <v>0.3333333333</v>
      </c>
      <c r="K46" s="11">
        <f t="shared" si="4"/>
        <v>0</v>
      </c>
    </row>
    <row r="47" ht="14.25" customHeight="1">
      <c r="A47" s="21" t="s">
        <v>503</v>
      </c>
      <c r="B47" s="21">
        <v>0.0</v>
      </c>
      <c r="D47" s="21">
        <v>0.0</v>
      </c>
      <c r="E47" s="21">
        <v>0.0</v>
      </c>
      <c r="F47" s="21">
        <v>1.0</v>
      </c>
      <c r="G47" s="11">
        <f t="shared" si="1"/>
        <v>1</v>
      </c>
      <c r="H47" s="85">
        <f t="shared" si="2"/>
        <v>0</v>
      </c>
      <c r="I47" s="86">
        <f t="shared" si="3"/>
        <v>0</v>
      </c>
      <c r="K47" s="11">
        <f t="shared" si="4"/>
        <v>0</v>
      </c>
      <c r="N47" s="78"/>
    </row>
    <row r="48" ht="14.25" customHeight="1">
      <c r="A48" s="21" t="s">
        <v>328</v>
      </c>
      <c r="B48" s="16">
        <v>0.0</v>
      </c>
      <c r="D48" s="21">
        <v>0.0</v>
      </c>
      <c r="E48" s="21">
        <v>0.0</v>
      </c>
      <c r="F48" s="21">
        <v>1.0</v>
      </c>
      <c r="G48" s="11">
        <f t="shared" si="1"/>
        <v>1</v>
      </c>
      <c r="H48" s="85">
        <f t="shared" si="2"/>
        <v>0</v>
      </c>
      <c r="I48" s="86">
        <f t="shared" si="3"/>
        <v>0</v>
      </c>
      <c r="J48" s="94"/>
      <c r="K48" s="11">
        <f t="shared" si="4"/>
        <v>0</v>
      </c>
      <c r="N48" s="78"/>
    </row>
    <row r="49" ht="14.25" customHeight="1">
      <c r="A49" s="21" t="s">
        <v>187</v>
      </c>
      <c r="B49" s="16">
        <v>0.0</v>
      </c>
      <c r="D49" s="21">
        <v>0.0</v>
      </c>
      <c r="E49" s="21">
        <v>0.0</v>
      </c>
      <c r="F49" s="21">
        <v>1.0</v>
      </c>
      <c r="G49" s="11">
        <f t="shared" si="1"/>
        <v>1</v>
      </c>
      <c r="H49" s="85">
        <f t="shared" si="2"/>
        <v>0</v>
      </c>
      <c r="I49" s="86">
        <f t="shared" si="3"/>
        <v>0</v>
      </c>
      <c r="K49" s="11">
        <f t="shared" si="4"/>
        <v>0</v>
      </c>
      <c r="N49" s="78"/>
    </row>
    <row r="50" ht="14.25" customHeight="1">
      <c r="A50" s="16" t="s">
        <v>447</v>
      </c>
      <c r="B50" s="16">
        <v>0.0</v>
      </c>
      <c r="D50" s="16">
        <v>0.0</v>
      </c>
      <c r="E50" s="16">
        <v>0.0</v>
      </c>
      <c r="F50" s="16">
        <v>1.0</v>
      </c>
      <c r="G50" s="11">
        <f t="shared" si="1"/>
        <v>1</v>
      </c>
      <c r="H50" s="85">
        <f t="shared" si="2"/>
        <v>0</v>
      </c>
      <c r="I50" s="86">
        <f t="shared" si="3"/>
        <v>0</v>
      </c>
      <c r="J50" s="94"/>
      <c r="K50" s="11">
        <f t="shared" si="4"/>
        <v>0</v>
      </c>
    </row>
    <row r="51" ht="14.25" customHeight="1">
      <c r="A51" s="21" t="s">
        <v>93</v>
      </c>
      <c r="B51" s="16">
        <v>0.0</v>
      </c>
      <c r="D51" s="21">
        <v>0.0</v>
      </c>
      <c r="E51" s="21">
        <v>0.0</v>
      </c>
      <c r="F51" s="21">
        <v>1.0</v>
      </c>
      <c r="G51" s="11">
        <f t="shared" si="1"/>
        <v>1</v>
      </c>
      <c r="H51" s="85">
        <f t="shared" si="2"/>
        <v>0</v>
      </c>
      <c r="I51" s="86">
        <f t="shared" si="3"/>
        <v>0</v>
      </c>
      <c r="K51" s="11">
        <f t="shared" si="4"/>
        <v>0</v>
      </c>
    </row>
    <row r="52" ht="14.25" customHeight="1">
      <c r="A52" s="21" t="s">
        <v>121</v>
      </c>
      <c r="B52" s="16">
        <v>0.0</v>
      </c>
      <c r="D52" s="21">
        <v>0.0</v>
      </c>
      <c r="E52" s="21">
        <v>0.0</v>
      </c>
      <c r="F52" s="21">
        <v>1.0</v>
      </c>
      <c r="G52" s="11">
        <f t="shared" si="1"/>
        <v>1</v>
      </c>
      <c r="H52" s="85">
        <f t="shared" si="2"/>
        <v>0</v>
      </c>
      <c r="I52" s="86">
        <f t="shared" si="3"/>
        <v>0</v>
      </c>
      <c r="K52" s="11">
        <f t="shared" si="4"/>
        <v>0</v>
      </c>
    </row>
    <row r="53" ht="14.25" customHeight="1">
      <c r="A53" s="21" t="s">
        <v>606</v>
      </c>
      <c r="B53" s="21">
        <v>0.0</v>
      </c>
      <c r="D53" s="21">
        <v>0.0</v>
      </c>
      <c r="E53" s="21">
        <v>0.0</v>
      </c>
      <c r="F53" s="21">
        <v>1.0</v>
      </c>
      <c r="G53" s="11">
        <f t="shared" si="1"/>
        <v>1</v>
      </c>
      <c r="H53" s="85">
        <f t="shared" si="2"/>
        <v>0</v>
      </c>
      <c r="I53" s="86">
        <f t="shared" si="3"/>
        <v>0</v>
      </c>
      <c r="K53" s="11">
        <f t="shared" si="4"/>
        <v>0</v>
      </c>
    </row>
    <row r="54" ht="14.25" customHeight="1">
      <c r="H54" s="78"/>
    </row>
    <row r="55" ht="14.25" customHeight="1">
      <c r="H55" s="78"/>
    </row>
    <row r="56" ht="14.25" customHeight="1">
      <c r="H56" s="78"/>
    </row>
    <row r="57" ht="14.25" customHeight="1">
      <c r="H57" s="78"/>
    </row>
    <row r="58" ht="14.25" customHeight="1">
      <c r="H58" s="78"/>
    </row>
    <row r="59" ht="14.25" customHeight="1">
      <c r="H59" s="78"/>
    </row>
    <row r="60" ht="14.25" customHeight="1">
      <c r="H60" s="78"/>
    </row>
    <row r="61" ht="14.25" customHeight="1">
      <c r="H61" s="78"/>
    </row>
    <row r="62" ht="14.25" customHeight="1">
      <c r="H62" s="78"/>
    </row>
    <row r="63" ht="14.25" customHeight="1">
      <c r="H63" s="78"/>
    </row>
    <row r="64" ht="14.25" customHeight="1">
      <c r="H64" s="78"/>
    </row>
    <row r="65" ht="14.25" customHeight="1">
      <c r="H65" s="78"/>
    </row>
    <row r="66" ht="14.25" customHeight="1">
      <c r="H66" s="78"/>
    </row>
    <row r="67" ht="14.25" customHeight="1">
      <c r="H67" s="78"/>
    </row>
    <row r="68" ht="14.25" customHeight="1">
      <c r="H68" s="78"/>
    </row>
    <row r="69" ht="14.25" customHeight="1">
      <c r="H69" s="78"/>
    </row>
    <row r="70" ht="14.25" customHeight="1">
      <c r="H70" s="78"/>
    </row>
    <row r="71" ht="14.25" customHeight="1">
      <c r="H71" s="78"/>
    </row>
    <row r="72" ht="14.25" customHeight="1">
      <c r="H72" s="78"/>
    </row>
    <row r="73" ht="14.25" customHeight="1">
      <c r="H73" s="78"/>
    </row>
    <row r="74" ht="14.25" customHeight="1">
      <c r="H74" s="78"/>
    </row>
    <row r="75" ht="14.25" customHeight="1">
      <c r="H75" s="78"/>
    </row>
    <row r="76" ht="14.25" customHeight="1">
      <c r="H76" s="78"/>
    </row>
    <row r="77" ht="14.25" customHeight="1">
      <c r="H77" s="78"/>
    </row>
    <row r="78" ht="14.25" customHeight="1">
      <c r="H78" s="78"/>
    </row>
    <row r="79" ht="14.25" customHeight="1">
      <c r="H79" s="78"/>
    </row>
    <row r="80" ht="14.25" customHeight="1">
      <c r="H80" s="78"/>
    </row>
    <row r="81" ht="14.25" customHeight="1">
      <c r="H81" s="78"/>
    </row>
    <row r="82" ht="14.25" customHeight="1">
      <c r="H82" s="78"/>
    </row>
    <row r="83" ht="14.25" customHeight="1">
      <c r="H83" s="78"/>
    </row>
    <row r="84" ht="14.25" customHeight="1">
      <c r="H84" s="78"/>
    </row>
    <row r="85" ht="14.25" customHeight="1">
      <c r="H85" s="78"/>
    </row>
    <row r="86" ht="14.25" customHeight="1">
      <c r="H86" s="78"/>
    </row>
    <row r="87" ht="14.25" customHeight="1">
      <c r="H87" s="78"/>
    </row>
    <row r="88" ht="14.25" customHeight="1">
      <c r="H88" s="78"/>
    </row>
    <row r="89" ht="14.25" customHeight="1">
      <c r="H89" s="78"/>
    </row>
    <row r="90" ht="14.25" customHeight="1">
      <c r="H90" s="78"/>
    </row>
    <row r="91" ht="14.25" customHeight="1">
      <c r="H91" s="78"/>
    </row>
    <row r="92" ht="14.25" customHeight="1">
      <c r="H92" s="78"/>
    </row>
    <row r="93" ht="14.25" customHeight="1">
      <c r="H93" s="78"/>
    </row>
    <row r="94" ht="14.25" customHeight="1">
      <c r="H94" s="78"/>
    </row>
    <row r="95" ht="14.25" customHeight="1">
      <c r="H95" s="78"/>
    </row>
    <row r="96" ht="14.25" customHeight="1">
      <c r="H96" s="78"/>
    </row>
    <row r="97" ht="14.25" customHeight="1">
      <c r="H97" s="78"/>
    </row>
    <row r="98" ht="14.25" customHeight="1">
      <c r="H98" s="78"/>
    </row>
    <row r="99" ht="14.25" customHeight="1">
      <c r="H99" s="78"/>
    </row>
    <row r="100" ht="14.25" customHeight="1">
      <c r="H100" s="78"/>
    </row>
    <row r="101" ht="14.25" customHeight="1">
      <c r="H101" s="78"/>
    </row>
    <row r="102" ht="14.25" customHeight="1">
      <c r="H102" s="78"/>
    </row>
    <row r="103" ht="14.25" customHeight="1">
      <c r="H103" s="78"/>
    </row>
    <row r="104" ht="14.25" customHeight="1">
      <c r="H104" s="78"/>
    </row>
    <row r="105" ht="14.25" customHeight="1">
      <c r="H105" s="78"/>
    </row>
    <row r="106" ht="14.25" customHeight="1">
      <c r="H106" s="78"/>
    </row>
    <row r="107" ht="14.25" customHeight="1">
      <c r="H107" s="78"/>
    </row>
    <row r="108" ht="14.25" customHeight="1">
      <c r="H108" s="78"/>
    </row>
    <row r="109" ht="14.25" customHeight="1">
      <c r="H109" s="78"/>
    </row>
    <row r="110" ht="14.25" customHeight="1">
      <c r="H110" s="78"/>
    </row>
    <row r="111" ht="14.25" customHeight="1">
      <c r="H111" s="78"/>
    </row>
    <row r="112" ht="14.25" customHeight="1">
      <c r="H112" s="78"/>
    </row>
    <row r="113" ht="14.25" customHeight="1">
      <c r="H113" s="78"/>
    </row>
    <row r="114" ht="14.25" customHeight="1">
      <c r="H114" s="78"/>
    </row>
    <row r="115" ht="14.25" customHeight="1">
      <c r="H115" s="78"/>
    </row>
    <row r="116" ht="14.25" customHeight="1">
      <c r="C116" s="67"/>
      <c r="H116" s="78"/>
      <c r="J116" s="67"/>
    </row>
    <row r="117" ht="14.25" customHeight="1">
      <c r="C117" s="67"/>
      <c r="H117" s="78"/>
      <c r="J117" s="67"/>
    </row>
    <row r="118" ht="14.25" customHeight="1">
      <c r="C118" s="67"/>
      <c r="H118" s="78"/>
      <c r="J118" s="67"/>
    </row>
    <row r="119" ht="14.25" customHeight="1">
      <c r="C119" s="67"/>
      <c r="H119" s="78"/>
      <c r="J119" s="67"/>
    </row>
    <row r="120" ht="14.25" customHeight="1">
      <c r="C120" s="67"/>
      <c r="H120" s="78"/>
      <c r="J120" s="67"/>
    </row>
    <row r="121" ht="14.25" customHeight="1">
      <c r="C121" s="67"/>
      <c r="H121" s="78"/>
      <c r="J121" s="67"/>
    </row>
    <row r="122" ht="14.25" customHeight="1">
      <c r="C122" s="67"/>
      <c r="H122" s="78"/>
      <c r="J122" s="67"/>
    </row>
    <row r="123" ht="14.25" customHeight="1">
      <c r="C123" s="67"/>
      <c r="H123" s="78"/>
      <c r="J123" s="67"/>
    </row>
    <row r="124" ht="14.25" customHeight="1">
      <c r="C124" s="67"/>
      <c r="H124" s="78"/>
      <c r="J124" s="67"/>
    </row>
    <row r="125" ht="14.25" customHeight="1">
      <c r="C125" s="67"/>
      <c r="H125" s="78"/>
      <c r="J125" s="67"/>
    </row>
    <row r="126" ht="14.25" customHeight="1">
      <c r="C126" s="67"/>
      <c r="H126" s="78"/>
      <c r="J126" s="67"/>
    </row>
    <row r="127" ht="14.25" customHeight="1">
      <c r="C127" s="67"/>
      <c r="H127" s="78"/>
      <c r="J127" s="67"/>
    </row>
    <row r="128" ht="14.25" customHeight="1">
      <c r="C128" s="67"/>
      <c r="H128" s="78"/>
      <c r="J128" s="67"/>
    </row>
    <row r="129" ht="14.25" customHeight="1">
      <c r="C129" s="67"/>
      <c r="H129" s="78"/>
      <c r="J129" s="67"/>
    </row>
    <row r="130" ht="14.25" customHeight="1">
      <c r="C130" s="67"/>
      <c r="H130" s="78"/>
      <c r="J130" s="67"/>
    </row>
    <row r="131" ht="14.25" customHeight="1">
      <c r="C131" s="67"/>
      <c r="H131" s="78"/>
      <c r="J131" s="67"/>
    </row>
    <row r="132" ht="14.25" customHeight="1">
      <c r="C132" s="67"/>
      <c r="H132" s="78"/>
      <c r="J132" s="67"/>
    </row>
    <row r="133" ht="14.25" customHeight="1">
      <c r="C133" s="67"/>
      <c r="H133" s="78"/>
      <c r="J133" s="67"/>
    </row>
    <row r="134" ht="14.25" customHeight="1">
      <c r="C134" s="67"/>
      <c r="H134" s="78"/>
      <c r="J134" s="67"/>
    </row>
    <row r="135" ht="14.25" customHeight="1">
      <c r="C135" s="67"/>
      <c r="H135" s="78"/>
      <c r="J135" s="67"/>
    </row>
    <row r="136" ht="14.25" customHeight="1">
      <c r="C136" s="67"/>
      <c r="H136" s="78"/>
      <c r="J136" s="67"/>
    </row>
    <row r="137" ht="14.25" customHeight="1">
      <c r="C137" s="67"/>
      <c r="H137" s="78"/>
      <c r="J137" s="67"/>
    </row>
    <row r="138" ht="14.25" customHeight="1">
      <c r="C138" s="67"/>
      <c r="H138" s="78"/>
      <c r="J138" s="67"/>
    </row>
    <row r="139" ht="14.25" customHeight="1">
      <c r="C139" s="67"/>
      <c r="H139" s="78"/>
      <c r="J139" s="67"/>
    </row>
    <row r="140" ht="14.25" customHeight="1">
      <c r="C140" s="67"/>
      <c r="H140" s="78"/>
      <c r="J140" s="67"/>
    </row>
    <row r="141" ht="14.25" customHeight="1">
      <c r="C141" s="67"/>
      <c r="H141" s="78"/>
      <c r="J141" s="67"/>
    </row>
    <row r="142" ht="14.25" customHeight="1">
      <c r="C142" s="67"/>
      <c r="H142" s="78"/>
      <c r="J142" s="67"/>
    </row>
    <row r="143" ht="14.25" customHeight="1">
      <c r="C143" s="67"/>
      <c r="H143" s="78"/>
      <c r="J143" s="67"/>
    </row>
    <row r="144" ht="14.25" customHeight="1">
      <c r="C144" s="67"/>
      <c r="H144" s="78"/>
      <c r="J144" s="67"/>
    </row>
    <row r="145" ht="14.25" customHeight="1">
      <c r="C145" s="67"/>
      <c r="H145" s="78"/>
      <c r="J145" s="67"/>
    </row>
    <row r="146" ht="14.25" customHeight="1">
      <c r="C146" s="67"/>
      <c r="H146" s="78"/>
      <c r="J146" s="67"/>
    </row>
    <row r="147" ht="14.25" customHeight="1">
      <c r="C147" s="67"/>
      <c r="H147" s="78"/>
      <c r="J147" s="67"/>
    </row>
    <row r="148" ht="14.25" customHeight="1">
      <c r="C148" s="67"/>
      <c r="H148" s="78"/>
      <c r="J148" s="67"/>
    </row>
    <row r="149" ht="14.25" customHeight="1">
      <c r="C149" s="67"/>
      <c r="H149" s="78"/>
      <c r="J149" s="67"/>
    </row>
    <row r="150" ht="14.25" customHeight="1">
      <c r="C150" s="67"/>
      <c r="H150" s="78"/>
      <c r="J150" s="67"/>
    </row>
    <row r="151" ht="14.25" customHeight="1">
      <c r="C151" s="67"/>
      <c r="H151" s="78"/>
      <c r="J151" s="67"/>
    </row>
    <row r="152" ht="14.25" customHeight="1">
      <c r="C152" s="67"/>
      <c r="H152" s="78"/>
      <c r="J152" s="67"/>
    </row>
    <row r="153" ht="14.25" customHeight="1">
      <c r="C153" s="67"/>
      <c r="H153" s="78"/>
      <c r="J153" s="67"/>
    </row>
    <row r="154" ht="14.25" customHeight="1">
      <c r="C154" s="67"/>
      <c r="H154" s="78"/>
      <c r="J154" s="67"/>
    </row>
    <row r="155" ht="14.25" customHeight="1">
      <c r="C155" s="67"/>
      <c r="H155" s="78"/>
      <c r="J155" s="67"/>
    </row>
    <row r="156" ht="14.25" customHeight="1">
      <c r="C156" s="67"/>
      <c r="H156" s="78"/>
      <c r="J156" s="67"/>
    </row>
    <row r="157" ht="14.25" customHeight="1">
      <c r="C157" s="67"/>
      <c r="H157" s="78"/>
      <c r="J157" s="67"/>
    </row>
    <row r="158" ht="14.25" customHeight="1">
      <c r="C158" s="67"/>
      <c r="H158" s="78"/>
      <c r="J158" s="67"/>
    </row>
    <row r="159" ht="14.25" customHeight="1">
      <c r="C159" s="67"/>
      <c r="H159" s="78"/>
      <c r="J159" s="67"/>
    </row>
    <row r="160" ht="14.25" customHeight="1">
      <c r="C160" s="67"/>
      <c r="H160" s="78"/>
      <c r="J160" s="67"/>
    </row>
    <row r="161" ht="14.25" customHeight="1">
      <c r="C161" s="67"/>
      <c r="H161" s="78"/>
      <c r="J161" s="67"/>
    </row>
    <row r="162" ht="14.25" customHeight="1">
      <c r="C162" s="67"/>
      <c r="H162" s="78"/>
      <c r="J162" s="67"/>
    </row>
    <row r="163" ht="14.25" customHeight="1">
      <c r="C163" s="67"/>
      <c r="H163" s="78"/>
      <c r="J163" s="67"/>
    </row>
    <row r="164" ht="14.25" customHeight="1">
      <c r="C164" s="67"/>
      <c r="H164" s="78"/>
      <c r="J164" s="67"/>
    </row>
    <row r="165" ht="14.25" customHeight="1">
      <c r="C165" s="67"/>
      <c r="H165" s="78"/>
      <c r="J165" s="67"/>
    </row>
    <row r="166" ht="14.25" customHeight="1">
      <c r="C166" s="67"/>
      <c r="H166" s="78"/>
      <c r="J166" s="67"/>
    </row>
    <row r="167" ht="14.25" customHeight="1">
      <c r="C167" s="67"/>
      <c r="H167" s="78"/>
      <c r="J167" s="67"/>
    </row>
    <row r="168" ht="14.25" customHeight="1">
      <c r="C168" s="67"/>
      <c r="H168" s="78"/>
      <c r="J168" s="67"/>
    </row>
    <row r="169" ht="14.25" customHeight="1">
      <c r="C169" s="67"/>
      <c r="H169" s="78"/>
      <c r="J169" s="67"/>
    </row>
    <row r="170" ht="14.25" customHeight="1">
      <c r="C170" s="67"/>
      <c r="H170" s="78"/>
      <c r="J170" s="67"/>
    </row>
    <row r="171" ht="14.25" customHeight="1">
      <c r="C171" s="67"/>
      <c r="H171" s="78"/>
      <c r="J171" s="67"/>
    </row>
    <row r="172" ht="14.25" customHeight="1">
      <c r="C172" s="67"/>
      <c r="H172" s="78"/>
      <c r="J172" s="67"/>
    </row>
    <row r="173" ht="14.25" customHeight="1">
      <c r="C173" s="67"/>
      <c r="H173" s="78"/>
      <c r="J173" s="67"/>
    </row>
    <row r="174" ht="14.25" customHeight="1">
      <c r="C174" s="67"/>
      <c r="H174" s="78"/>
      <c r="J174" s="67"/>
    </row>
    <row r="175" ht="14.25" customHeight="1">
      <c r="C175" s="67"/>
      <c r="H175" s="78"/>
      <c r="J175" s="67"/>
    </row>
    <row r="176" ht="14.25" customHeight="1">
      <c r="C176" s="67"/>
      <c r="H176" s="78"/>
      <c r="J176" s="67"/>
    </row>
    <row r="177" ht="14.25" customHeight="1">
      <c r="C177" s="67"/>
      <c r="H177" s="78"/>
      <c r="J177" s="67"/>
    </row>
    <row r="178" ht="14.25" customHeight="1">
      <c r="C178" s="67"/>
      <c r="H178" s="78"/>
      <c r="J178" s="67"/>
    </row>
    <row r="179" ht="14.25" customHeight="1">
      <c r="C179" s="67"/>
      <c r="H179" s="78"/>
      <c r="J179" s="67"/>
    </row>
    <row r="180" ht="14.25" customHeight="1">
      <c r="C180" s="67"/>
      <c r="H180" s="78"/>
      <c r="J180" s="67"/>
    </row>
    <row r="181" ht="14.25" customHeight="1">
      <c r="C181" s="67"/>
      <c r="H181" s="78"/>
      <c r="J181" s="67"/>
    </row>
    <row r="182" ht="14.25" customHeight="1">
      <c r="C182" s="67"/>
      <c r="H182" s="78"/>
      <c r="J182" s="67"/>
    </row>
    <row r="183" ht="14.25" customHeight="1">
      <c r="C183" s="67"/>
      <c r="H183" s="78"/>
      <c r="J183" s="67"/>
    </row>
    <row r="184" ht="14.25" customHeight="1">
      <c r="C184" s="67"/>
      <c r="H184" s="78"/>
      <c r="J184" s="67"/>
    </row>
    <row r="185" ht="14.25" customHeight="1">
      <c r="C185" s="67"/>
      <c r="H185" s="78"/>
      <c r="J185" s="67"/>
    </row>
    <row r="186" ht="14.25" customHeight="1">
      <c r="C186" s="67"/>
      <c r="H186" s="78"/>
      <c r="J186" s="67"/>
    </row>
    <row r="187" ht="14.25" customHeight="1">
      <c r="C187" s="67"/>
      <c r="H187" s="78"/>
      <c r="J187" s="67"/>
    </row>
    <row r="188" ht="14.25" customHeight="1">
      <c r="C188" s="67"/>
      <c r="H188" s="78"/>
      <c r="J188" s="67"/>
    </row>
    <row r="189" ht="14.25" customHeight="1">
      <c r="C189" s="67"/>
      <c r="H189" s="78"/>
      <c r="J189" s="67"/>
    </row>
    <row r="190" ht="14.25" customHeight="1">
      <c r="C190" s="67"/>
      <c r="H190" s="78"/>
      <c r="J190" s="67"/>
    </row>
    <row r="191" ht="14.25" customHeight="1">
      <c r="C191" s="67"/>
      <c r="H191" s="78"/>
      <c r="J191" s="67"/>
    </row>
    <row r="192" ht="14.25" customHeight="1">
      <c r="C192" s="67"/>
      <c r="H192" s="78"/>
      <c r="J192" s="67"/>
    </row>
    <row r="193" ht="14.25" customHeight="1">
      <c r="C193" s="67"/>
      <c r="H193" s="78"/>
      <c r="J193" s="67"/>
    </row>
    <row r="194" ht="14.25" customHeight="1">
      <c r="C194" s="67"/>
      <c r="H194" s="78"/>
      <c r="J194" s="67"/>
    </row>
    <row r="195" ht="14.25" customHeight="1">
      <c r="C195" s="67"/>
      <c r="H195" s="78"/>
      <c r="J195" s="67"/>
    </row>
    <row r="196" ht="14.25" customHeight="1">
      <c r="C196" s="67"/>
      <c r="H196" s="78"/>
      <c r="J196" s="67"/>
    </row>
    <row r="197" ht="14.25" customHeight="1">
      <c r="C197" s="67"/>
      <c r="H197" s="78"/>
      <c r="J197" s="67"/>
    </row>
    <row r="198" ht="14.25" customHeight="1">
      <c r="C198" s="67"/>
      <c r="H198" s="78"/>
      <c r="J198" s="67"/>
    </row>
    <row r="199" ht="14.25" customHeight="1">
      <c r="C199" s="67"/>
      <c r="H199" s="78"/>
      <c r="J199" s="67"/>
    </row>
    <row r="200" ht="14.25" customHeight="1">
      <c r="C200" s="67"/>
      <c r="H200" s="78"/>
      <c r="J200" s="67"/>
    </row>
    <row r="201" ht="14.25" customHeight="1">
      <c r="C201" s="67"/>
      <c r="H201" s="78"/>
      <c r="J201" s="67"/>
    </row>
    <row r="202" ht="14.25" customHeight="1">
      <c r="C202" s="67"/>
      <c r="H202" s="78"/>
      <c r="J202" s="67"/>
    </row>
    <row r="203" ht="14.25" customHeight="1">
      <c r="C203" s="67"/>
      <c r="H203" s="78"/>
      <c r="J203" s="67"/>
    </row>
    <row r="204" ht="14.25" customHeight="1">
      <c r="C204" s="67"/>
      <c r="H204" s="78"/>
      <c r="J204" s="67"/>
    </row>
    <row r="205" ht="14.25" customHeight="1">
      <c r="C205" s="67"/>
      <c r="H205" s="78"/>
      <c r="J205" s="67"/>
    </row>
    <row r="206" ht="14.25" customHeight="1">
      <c r="C206" s="67"/>
      <c r="H206" s="78"/>
      <c r="J206" s="67"/>
    </row>
    <row r="207" ht="14.25" customHeight="1">
      <c r="C207" s="67"/>
      <c r="H207" s="78"/>
      <c r="J207" s="67"/>
    </row>
    <row r="208" ht="14.25" customHeight="1">
      <c r="C208" s="67"/>
      <c r="H208" s="78"/>
      <c r="J208" s="67"/>
    </row>
    <row r="209" ht="14.25" customHeight="1">
      <c r="C209" s="67"/>
      <c r="H209" s="78"/>
      <c r="J209" s="67"/>
    </row>
    <row r="210" ht="14.25" customHeight="1">
      <c r="C210" s="67"/>
      <c r="H210" s="78"/>
      <c r="J210" s="67"/>
    </row>
    <row r="211" ht="14.25" customHeight="1">
      <c r="C211" s="67"/>
      <c r="H211" s="78"/>
      <c r="J211" s="67"/>
    </row>
    <row r="212" ht="14.25" customHeight="1">
      <c r="C212" s="67"/>
      <c r="H212" s="78"/>
      <c r="J212" s="67"/>
    </row>
    <row r="213" ht="14.25" customHeight="1">
      <c r="C213" s="67"/>
      <c r="H213" s="78"/>
      <c r="J213" s="67"/>
    </row>
    <row r="214" ht="14.25" customHeight="1">
      <c r="C214" s="67"/>
      <c r="H214" s="78"/>
      <c r="J214" s="67"/>
    </row>
    <row r="215" ht="14.25" customHeight="1">
      <c r="C215" s="67"/>
      <c r="H215" s="78"/>
      <c r="J215" s="67"/>
    </row>
    <row r="216" ht="14.25" customHeight="1">
      <c r="C216" s="67"/>
      <c r="H216" s="78"/>
      <c r="J216" s="67"/>
    </row>
    <row r="217" ht="14.25" customHeight="1">
      <c r="C217" s="67"/>
      <c r="H217" s="78"/>
      <c r="J217" s="67"/>
    </row>
    <row r="218" ht="14.25" customHeight="1">
      <c r="C218" s="67"/>
      <c r="H218" s="78"/>
      <c r="J218" s="67"/>
    </row>
    <row r="219" ht="14.25" customHeight="1">
      <c r="C219" s="67"/>
      <c r="H219" s="78"/>
      <c r="J219" s="67"/>
    </row>
    <row r="220" ht="14.25" customHeight="1">
      <c r="C220" s="67"/>
      <c r="H220" s="78"/>
      <c r="J220" s="67"/>
    </row>
    <row r="221" ht="14.25" customHeight="1">
      <c r="C221" s="67"/>
      <c r="H221" s="78"/>
      <c r="J221" s="67"/>
    </row>
    <row r="222" ht="14.25" customHeight="1">
      <c r="C222" s="67"/>
      <c r="H222" s="78"/>
      <c r="J222" s="67"/>
    </row>
    <row r="223" ht="14.25" customHeight="1">
      <c r="C223" s="67"/>
      <c r="H223" s="78"/>
      <c r="J223" s="67"/>
    </row>
    <row r="224" ht="14.25" customHeight="1">
      <c r="C224" s="67"/>
      <c r="H224" s="78"/>
      <c r="J224" s="67"/>
    </row>
    <row r="225" ht="14.25" customHeight="1">
      <c r="C225" s="67"/>
      <c r="H225" s="78"/>
      <c r="J225" s="67"/>
    </row>
    <row r="226" ht="14.25" customHeight="1">
      <c r="C226" s="67"/>
      <c r="H226" s="78"/>
      <c r="J226" s="67"/>
    </row>
    <row r="227" ht="14.25" customHeight="1">
      <c r="C227" s="67"/>
      <c r="H227" s="78"/>
      <c r="J227" s="67"/>
    </row>
    <row r="228" ht="14.25" customHeight="1">
      <c r="C228" s="67"/>
      <c r="H228" s="78"/>
      <c r="J228" s="67"/>
    </row>
    <row r="229" ht="14.25" customHeight="1">
      <c r="C229" s="67"/>
      <c r="H229" s="78"/>
      <c r="J229" s="67"/>
    </row>
    <row r="230" ht="14.25" customHeight="1">
      <c r="C230" s="67"/>
      <c r="H230" s="78"/>
      <c r="J230" s="67"/>
    </row>
    <row r="231" ht="14.25" customHeight="1">
      <c r="C231" s="67"/>
      <c r="H231" s="78"/>
      <c r="J231" s="67"/>
    </row>
    <row r="232" ht="14.25" customHeight="1">
      <c r="C232" s="67"/>
      <c r="H232" s="78"/>
      <c r="J232" s="67"/>
    </row>
    <row r="233" ht="14.25" customHeight="1">
      <c r="C233" s="67"/>
      <c r="H233" s="78"/>
      <c r="J233" s="67"/>
    </row>
    <row r="234" ht="14.25" customHeight="1">
      <c r="C234" s="67"/>
      <c r="H234" s="78"/>
      <c r="J234" s="67"/>
    </row>
    <row r="235" ht="14.25" customHeight="1">
      <c r="C235" s="67"/>
      <c r="H235" s="78"/>
      <c r="J235" s="67"/>
    </row>
    <row r="236" ht="14.25" customHeight="1">
      <c r="C236" s="67"/>
      <c r="H236" s="78"/>
      <c r="J236" s="67"/>
    </row>
    <row r="237" ht="14.25" customHeight="1">
      <c r="C237" s="67"/>
      <c r="H237" s="78"/>
      <c r="J237" s="67"/>
    </row>
    <row r="238" ht="14.25" customHeight="1">
      <c r="C238" s="67"/>
      <c r="H238" s="78"/>
      <c r="J238" s="67"/>
    </row>
    <row r="239" ht="14.25" customHeight="1">
      <c r="C239" s="67"/>
      <c r="H239" s="78"/>
      <c r="J239" s="67"/>
    </row>
    <row r="240" ht="14.25" customHeight="1">
      <c r="C240" s="67"/>
      <c r="H240" s="78"/>
      <c r="J240" s="67"/>
    </row>
    <row r="241" ht="14.25" customHeight="1">
      <c r="C241" s="67"/>
      <c r="H241" s="78"/>
      <c r="J241" s="67"/>
    </row>
    <row r="242" ht="14.25" customHeight="1">
      <c r="C242" s="67"/>
      <c r="H242" s="78"/>
      <c r="J242" s="67"/>
    </row>
    <row r="243" ht="14.25" customHeight="1">
      <c r="C243" s="67"/>
      <c r="H243" s="78"/>
      <c r="J243" s="67"/>
    </row>
    <row r="244" ht="14.25" customHeight="1">
      <c r="C244" s="67"/>
      <c r="H244" s="78"/>
      <c r="J244" s="67"/>
    </row>
    <row r="245" ht="14.25" customHeight="1">
      <c r="C245" s="67"/>
      <c r="H245" s="78"/>
      <c r="J245" s="67"/>
    </row>
    <row r="246" ht="14.25" customHeight="1">
      <c r="C246" s="67"/>
      <c r="H246" s="78"/>
      <c r="J246" s="67"/>
    </row>
    <row r="247" ht="14.25" customHeight="1">
      <c r="C247" s="67"/>
      <c r="H247" s="78"/>
      <c r="J247" s="67"/>
    </row>
    <row r="248" ht="14.25" customHeight="1">
      <c r="C248" s="67"/>
      <c r="H248" s="78"/>
      <c r="J248" s="67"/>
    </row>
    <row r="249" ht="14.25" customHeight="1">
      <c r="C249" s="67"/>
      <c r="H249" s="78"/>
      <c r="J249" s="67"/>
    </row>
    <row r="250" ht="14.25" customHeight="1">
      <c r="C250" s="67"/>
      <c r="H250" s="78"/>
      <c r="J250" s="67"/>
    </row>
    <row r="251" ht="14.25" customHeight="1">
      <c r="C251" s="67"/>
      <c r="H251" s="78"/>
      <c r="J251" s="67"/>
    </row>
    <row r="252" ht="14.25" customHeight="1">
      <c r="C252" s="67"/>
      <c r="H252" s="78"/>
      <c r="J252" s="67"/>
    </row>
    <row r="253" ht="14.25" customHeight="1">
      <c r="C253" s="67"/>
      <c r="H253" s="78"/>
      <c r="J253" s="67"/>
    </row>
    <row r="254" ht="14.25" customHeight="1">
      <c r="C254" s="67"/>
      <c r="H254" s="78"/>
      <c r="J254" s="67"/>
    </row>
    <row r="255" ht="14.25" customHeight="1">
      <c r="C255" s="67"/>
      <c r="H255" s="78"/>
      <c r="J255" s="67"/>
    </row>
    <row r="256" ht="14.25" customHeight="1">
      <c r="C256" s="67"/>
      <c r="H256" s="78"/>
      <c r="J256" s="67"/>
    </row>
    <row r="257" ht="14.25" customHeight="1">
      <c r="C257" s="67"/>
      <c r="H257" s="78"/>
      <c r="J257" s="67"/>
    </row>
    <row r="258" ht="14.25" customHeight="1">
      <c r="C258" s="67"/>
      <c r="H258" s="78"/>
      <c r="J258" s="67"/>
    </row>
    <row r="259" ht="14.25" customHeight="1">
      <c r="C259" s="67"/>
      <c r="H259" s="78"/>
      <c r="J259" s="67"/>
    </row>
    <row r="260" ht="14.25" customHeight="1">
      <c r="C260" s="67"/>
      <c r="H260" s="78"/>
      <c r="J260" s="67"/>
    </row>
    <row r="261" ht="14.25" customHeight="1">
      <c r="C261" s="67"/>
      <c r="H261" s="78"/>
      <c r="J261" s="67"/>
    </row>
    <row r="262" ht="14.25" customHeight="1">
      <c r="C262" s="67"/>
      <c r="H262" s="78"/>
      <c r="J262" s="67"/>
    </row>
    <row r="263" ht="14.25" customHeight="1">
      <c r="C263" s="67"/>
      <c r="H263" s="78"/>
      <c r="J263" s="67"/>
    </row>
    <row r="264" ht="14.25" customHeight="1">
      <c r="C264" s="67"/>
      <c r="H264" s="78"/>
      <c r="J264" s="67"/>
    </row>
    <row r="265" ht="14.25" customHeight="1">
      <c r="C265" s="67"/>
      <c r="H265" s="78"/>
      <c r="J265" s="67"/>
    </row>
    <row r="266" ht="14.25" customHeight="1">
      <c r="C266" s="67"/>
      <c r="H266" s="78"/>
      <c r="J266" s="67"/>
    </row>
    <row r="267" ht="14.25" customHeight="1">
      <c r="C267" s="67"/>
      <c r="H267" s="78"/>
      <c r="J267" s="67"/>
    </row>
    <row r="268" ht="14.25" customHeight="1">
      <c r="C268" s="67"/>
      <c r="H268" s="78"/>
      <c r="J268" s="67"/>
    </row>
    <row r="269" ht="14.25" customHeight="1">
      <c r="C269" s="67"/>
      <c r="H269" s="78"/>
      <c r="J269" s="67"/>
    </row>
    <row r="270" ht="14.25" customHeight="1">
      <c r="C270" s="67"/>
      <c r="H270" s="78"/>
      <c r="J270" s="67"/>
    </row>
    <row r="271" ht="14.25" customHeight="1">
      <c r="C271" s="67"/>
      <c r="H271" s="78"/>
      <c r="J271" s="67"/>
    </row>
    <row r="272" ht="14.25" customHeight="1">
      <c r="C272" s="67"/>
      <c r="H272" s="78"/>
      <c r="J272" s="67"/>
    </row>
    <row r="273" ht="14.25" customHeight="1">
      <c r="C273" s="67"/>
      <c r="H273" s="78"/>
      <c r="J273" s="67"/>
    </row>
    <row r="274" ht="14.25" customHeight="1">
      <c r="C274" s="67"/>
      <c r="H274" s="78"/>
      <c r="J274" s="67"/>
    </row>
    <row r="275" ht="14.25" customHeight="1">
      <c r="C275" s="67"/>
      <c r="H275" s="78"/>
      <c r="J275" s="67"/>
    </row>
    <row r="276" ht="14.25" customHeight="1">
      <c r="C276" s="67"/>
      <c r="H276" s="78"/>
      <c r="J276" s="67"/>
    </row>
    <row r="277" ht="14.25" customHeight="1">
      <c r="C277" s="67"/>
      <c r="H277" s="78"/>
      <c r="J277" s="67"/>
    </row>
    <row r="278" ht="14.25" customHeight="1">
      <c r="C278" s="67"/>
      <c r="H278" s="78"/>
      <c r="J278" s="67"/>
    </row>
    <row r="279" ht="14.25" customHeight="1">
      <c r="C279" s="67"/>
      <c r="H279" s="78"/>
      <c r="J279" s="67"/>
    </row>
    <row r="280" ht="14.25" customHeight="1">
      <c r="C280" s="67"/>
      <c r="H280" s="78"/>
      <c r="J280" s="67"/>
    </row>
    <row r="281" ht="14.25" customHeight="1">
      <c r="C281" s="67"/>
      <c r="H281" s="78"/>
      <c r="J281" s="67"/>
    </row>
    <row r="282" ht="14.25" customHeight="1">
      <c r="C282" s="67"/>
      <c r="H282" s="78"/>
      <c r="J282" s="67"/>
    </row>
    <row r="283" ht="14.25" customHeight="1">
      <c r="C283" s="67"/>
      <c r="H283" s="78"/>
      <c r="J283" s="67"/>
    </row>
    <row r="284" ht="14.25" customHeight="1">
      <c r="C284" s="67"/>
      <c r="H284" s="78"/>
      <c r="J284" s="67"/>
    </row>
    <row r="285" ht="14.25" customHeight="1">
      <c r="C285" s="67"/>
      <c r="H285" s="78"/>
      <c r="J285" s="67"/>
    </row>
    <row r="286" ht="14.25" customHeight="1">
      <c r="C286" s="67"/>
      <c r="H286" s="78"/>
      <c r="J286" s="67"/>
    </row>
    <row r="287" ht="14.25" customHeight="1">
      <c r="C287" s="67"/>
      <c r="H287" s="78"/>
      <c r="J287" s="67"/>
    </row>
    <row r="288" ht="14.25" customHeight="1">
      <c r="C288" s="67"/>
      <c r="H288" s="78"/>
      <c r="J288" s="67"/>
    </row>
    <row r="289" ht="14.25" customHeight="1">
      <c r="C289" s="67"/>
      <c r="H289" s="78"/>
      <c r="J289" s="67"/>
    </row>
    <row r="290" ht="14.25" customHeight="1">
      <c r="C290" s="67"/>
      <c r="H290" s="78"/>
      <c r="J290" s="67"/>
    </row>
    <row r="291" ht="14.25" customHeight="1">
      <c r="C291" s="67"/>
      <c r="H291" s="78"/>
      <c r="J291" s="67"/>
    </row>
    <row r="292" ht="14.25" customHeight="1">
      <c r="C292" s="67"/>
      <c r="H292" s="78"/>
      <c r="J292" s="67"/>
    </row>
    <row r="293" ht="14.25" customHeight="1">
      <c r="C293" s="67"/>
      <c r="H293" s="78"/>
      <c r="J293" s="67"/>
    </row>
    <row r="294" ht="14.25" customHeight="1">
      <c r="C294" s="67"/>
      <c r="H294" s="78"/>
      <c r="J294" s="67"/>
    </row>
    <row r="295" ht="14.25" customHeight="1">
      <c r="C295" s="67"/>
      <c r="H295" s="78"/>
      <c r="J295" s="67"/>
    </row>
    <row r="296" ht="14.25" customHeight="1">
      <c r="C296" s="67"/>
      <c r="H296" s="78"/>
      <c r="J296" s="67"/>
    </row>
    <row r="297" ht="14.25" customHeight="1">
      <c r="C297" s="67"/>
      <c r="H297" s="78"/>
      <c r="J297" s="67"/>
    </row>
    <row r="298" ht="14.25" customHeight="1">
      <c r="C298" s="67"/>
      <c r="H298" s="78"/>
      <c r="J298" s="67"/>
    </row>
    <row r="299" ht="14.25" customHeight="1">
      <c r="C299" s="67"/>
      <c r="H299" s="78"/>
      <c r="J299" s="67"/>
    </row>
    <row r="300" ht="14.25" customHeight="1">
      <c r="C300" s="67"/>
      <c r="H300" s="78"/>
      <c r="J300" s="67"/>
    </row>
    <row r="301" ht="14.25" customHeight="1">
      <c r="C301" s="67"/>
      <c r="H301" s="78"/>
      <c r="J301" s="67"/>
    </row>
    <row r="302" ht="14.25" customHeight="1">
      <c r="C302" s="67"/>
      <c r="H302" s="78"/>
      <c r="J302" s="67"/>
    </row>
    <row r="303" ht="14.25" customHeight="1">
      <c r="C303" s="67"/>
      <c r="H303" s="78"/>
      <c r="J303" s="67"/>
    </row>
    <row r="304" ht="14.25" customHeight="1">
      <c r="C304" s="67"/>
      <c r="H304" s="78"/>
      <c r="J304" s="67"/>
    </row>
    <row r="305" ht="14.25" customHeight="1">
      <c r="C305" s="67"/>
      <c r="H305" s="78"/>
      <c r="J305" s="67"/>
    </row>
    <row r="306" ht="14.25" customHeight="1">
      <c r="C306" s="67"/>
      <c r="H306" s="78"/>
      <c r="J306" s="67"/>
    </row>
    <row r="307" ht="14.25" customHeight="1">
      <c r="C307" s="67"/>
      <c r="H307" s="78"/>
      <c r="J307" s="67"/>
    </row>
    <row r="308" ht="14.25" customHeight="1">
      <c r="C308" s="67"/>
      <c r="H308" s="78"/>
      <c r="J308" s="67"/>
    </row>
    <row r="309" ht="14.25" customHeight="1">
      <c r="C309" s="67"/>
      <c r="H309" s="78"/>
      <c r="J309" s="67"/>
    </row>
    <row r="310" ht="14.25" customHeight="1">
      <c r="C310" s="67"/>
      <c r="H310" s="78"/>
      <c r="J310" s="67"/>
    </row>
    <row r="311" ht="14.25" customHeight="1">
      <c r="C311" s="67"/>
      <c r="H311" s="78"/>
      <c r="J311" s="67"/>
    </row>
    <row r="312" ht="14.25" customHeight="1">
      <c r="C312" s="67"/>
      <c r="H312" s="78"/>
      <c r="J312" s="67"/>
    </row>
    <row r="313" ht="14.25" customHeight="1">
      <c r="C313" s="67"/>
      <c r="H313" s="78"/>
      <c r="J313" s="67"/>
    </row>
    <row r="314" ht="14.25" customHeight="1">
      <c r="C314" s="67"/>
      <c r="H314" s="78"/>
      <c r="J314" s="67"/>
    </row>
    <row r="315" ht="14.25" customHeight="1">
      <c r="C315" s="67"/>
      <c r="H315" s="78"/>
      <c r="J315" s="67"/>
    </row>
    <row r="316" ht="14.25" customHeight="1">
      <c r="C316" s="67"/>
      <c r="H316" s="78"/>
      <c r="J316" s="67"/>
    </row>
    <row r="317" ht="14.25" customHeight="1">
      <c r="C317" s="67"/>
      <c r="H317" s="78"/>
      <c r="J317" s="67"/>
    </row>
    <row r="318" ht="14.25" customHeight="1">
      <c r="C318" s="67"/>
      <c r="H318" s="78"/>
      <c r="J318" s="67"/>
    </row>
    <row r="319" ht="14.25" customHeight="1">
      <c r="C319" s="67"/>
      <c r="H319" s="78"/>
      <c r="J319" s="67"/>
    </row>
    <row r="320" ht="14.25" customHeight="1">
      <c r="C320" s="67"/>
      <c r="H320" s="78"/>
      <c r="J320" s="67"/>
    </row>
    <row r="321" ht="14.25" customHeight="1">
      <c r="C321" s="67"/>
      <c r="H321" s="78"/>
      <c r="J321" s="67"/>
    </row>
    <row r="322" ht="14.25" customHeight="1">
      <c r="C322" s="67"/>
      <c r="H322" s="78"/>
      <c r="J322" s="67"/>
    </row>
    <row r="323" ht="14.25" customHeight="1">
      <c r="C323" s="67"/>
      <c r="H323" s="78"/>
      <c r="J323" s="67"/>
    </row>
    <row r="324" ht="14.25" customHeight="1">
      <c r="C324" s="67"/>
      <c r="H324" s="78"/>
      <c r="J324" s="67"/>
    </row>
    <row r="325" ht="14.25" customHeight="1">
      <c r="C325" s="67"/>
      <c r="H325" s="78"/>
      <c r="J325" s="67"/>
    </row>
    <row r="326" ht="14.25" customHeight="1">
      <c r="C326" s="67"/>
      <c r="H326" s="78"/>
      <c r="J326" s="67"/>
    </row>
    <row r="327" ht="14.25" customHeight="1">
      <c r="C327" s="67"/>
      <c r="H327" s="78"/>
      <c r="J327" s="67"/>
    </row>
    <row r="328" ht="14.25" customHeight="1">
      <c r="C328" s="67"/>
      <c r="H328" s="78"/>
      <c r="J328" s="67"/>
    </row>
    <row r="329" ht="14.25" customHeight="1">
      <c r="C329" s="67"/>
      <c r="H329" s="78"/>
      <c r="J329" s="67"/>
    </row>
    <row r="330" ht="14.25" customHeight="1">
      <c r="C330" s="67"/>
      <c r="H330" s="78"/>
      <c r="J330" s="67"/>
    </row>
    <row r="331" ht="14.25" customHeight="1">
      <c r="C331" s="67"/>
      <c r="H331" s="78"/>
      <c r="J331" s="67"/>
    </row>
    <row r="332" ht="14.25" customHeight="1">
      <c r="C332" s="67"/>
      <c r="H332" s="78"/>
      <c r="J332" s="67"/>
    </row>
    <row r="333" ht="14.25" customHeight="1">
      <c r="C333" s="67"/>
      <c r="H333" s="78"/>
      <c r="J333" s="67"/>
    </row>
    <row r="334" ht="14.25" customHeight="1">
      <c r="C334" s="67"/>
      <c r="H334" s="78"/>
      <c r="J334" s="67"/>
    </row>
    <row r="335" ht="14.25" customHeight="1">
      <c r="C335" s="67"/>
      <c r="H335" s="78"/>
      <c r="J335" s="67"/>
    </row>
    <row r="336" ht="14.25" customHeight="1">
      <c r="C336" s="67"/>
      <c r="H336" s="78"/>
      <c r="J336" s="67"/>
    </row>
    <row r="337" ht="14.25" customHeight="1">
      <c r="C337" s="67"/>
      <c r="H337" s="78"/>
      <c r="J337" s="67"/>
    </row>
    <row r="338" ht="14.25" customHeight="1">
      <c r="C338" s="67"/>
      <c r="H338" s="78"/>
      <c r="J338" s="67"/>
    </row>
    <row r="339" ht="14.25" customHeight="1">
      <c r="C339" s="67"/>
      <c r="H339" s="78"/>
      <c r="J339" s="67"/>
    </row>
    <row r="340" ht="14.25" customHeight="1">
      <c r="C340" s="67"/>
      <c r="H340" s="78"/>
      <c r="J340" s="67"/>
    </row>
    <row r="341" ht="14.25" customHeight="1">
      <c r="C341" s="67"/>
      <c r="H341" s="78"/>
      <c r="J341" s="67"/>
    </row>
    <row r="342" ht="14.25" customHeight="1">
      <c r="C342" s="67"/>
      <c r="H342" s="78"/>
      <c r="J342" s="67"/>
    </row>
    <row r="343" ht="14.25" customHeight="1">
      <c r="C343" s="67"/>
      <c r="H343" s="78"/>
      <c r="J343" s="67"/>
    </row>
    <row r="344" ht="14.25" customHeight="1">
      <c r="C344" s="67"/>
      <c r="H344" s="78"/>
      <c r="J344" s="67"/>
    </row>
    <row r="345" ht="14.25" customHeight="1">
      <c r="C345" s="67"/>
      <c r="H345" s="78"/>
      <c r="J345" s="67"/>
    </row>
    <row r="346" ht="14.25" customHeight="1">
      <c r="C346" s="67"/>
      <c r="H346" s="78"/>
      <c r="J346" s="67"/>
    </row>
    <row r="347" ht="14.25" customHeight="1">
      <c r="C347" s="67"/>
      <c r="H347" s="78"/>
      <c r="J347" s="67"/>
    </row>
    <row r="348" ht="14.25" customHeight="1">
      <c r="C348" s="67"/>
      <c r="H348" s="78"/>
      <c r="J348" s="67"/>
    </row>
    <row r="349" ht="14.25" customHeight="1">
      <c r="C349" s="67"/>
      <c r="H349" s="78"/>
      <c r="J349" s="67"/>
    </row>
    <row r="350" ht="14.25" customHeight="1">
      <c r="C350" s="67"/>
      <c r="H350" s="78"/>
      <c r="J350" s="67"/>
    </row>
    <row r="351" ht="14.25" customHeight="1">
      <c r="C351" s="67"/>
      <c r="H351" s="78"/>
      <c r="J351" s="67"/>
    </row>
    <row r="352" ht="14.25" customHeight="1">
      <c r="C352" s="67"/>
      <c r="H352" s="78"/>
      <c r="J352" s="67"/>
    </row>
    <row r="353" ht="14.25" customHeight="1">
      <c r="C353" s="67"/>
      <c r="H353" s="78"/>
      <c r="J353" s="67"/>
    </row>
    <row r="354" ht="14.25" customHeight="1">
      <c r="C354" s="67"/>
      <c r="H354" s="78"/>
      <c r="J354" s="67"/>
    </row>
    <row r="355" ht="14.25" customHeight="1">
      <c r="C355" s="67"/>
      <c r="H355" s="78"/>
      <c r="J355" s="67"/>
    </row>
    <row r="356" ht="14.25" customHeight="1">
      <c r="C356" s="67"/>
      <c r="H356" s="78"/>
      <c r="J356" s="67"/>
    </row>
    <row r="357" ht="14.25" customHeight="1">
      <c r="C357" s="67"/>
      <c r="H357" s="78"/>
      <c r="J357" s="67"/>
    </row>
    <row r="358" ht="14.25" customHeight="1">
      <c r="C358" s="67"/>
      <c r="H358" s="78"/>
      <c r="J358" s="67"/>
    </row>
    <row r="359" ht="14.25" customHeight="1">
      <c r="C359" s="67"/>
      <c r="H359" s="78"/>
      <c r="J359" s="67"/>
    </row>
    <row r="360" ht="14.25" customHeight="1">
      <c r="C360" s="67"/>
      <c r="H360" s="78"/>
      <c r="J360" s="67"/>
    </row>
    <row r="361" ht="14.25" customHeight="1">
      <c r="C361" s="67"/>
      <c r="H361" s="78"/>
      <c r="J361" s="67"/>
    </row>
    <row r="362" ht="14.25" customHeight="1">
      <c r="C362" s="67"/>
      <c r="H362" s="78"/>
      <c r="J362" s="67"/>
    </row>
    <row r="363" ht="14.25" customHeight="1">
      <c r="C363" s="67"/>
      <c r="H363" s="78"/>
      <c r="J363" s="67"/>
    </row>
    <row r="364" ht="14.25" customHeight="1">
      <c r="C364" s="67"/>
      <c r="H364" s="78"/>
      <c r="J364" s="67"/>
    </row>
    <row r="365" ht="14.25" customHeight="1">
      <c r="C365" s="67"/>
      <c r="H365" s="78"/>
      <c r="J365" s="67"/>
    </row>
    <row r="366" ht="14.25" customHeight="1">
      <c r="C366" s="67"/>
      <c r="H366" s="78"/>
      <c r="J366" s="67"/>
    </row>
    <row r="367" ht="14.25" customHeight="1">
      <c r="C367" s="67"/>
      <c r="H367" s="78"/>
      <c r="J367" s="67"/>
    </row>
    <row r="368" ht="14.25" customHeight="1">
      <c r="C368" s="67"/>
      <c r="H368" s="78"/>
      <c r="J368" s="67"/>
    </row>
    <row r="369" ht="14.25" customHeight="1">
      <c r="C369" s="67"/>
      <c r="H369" s="78"/>
      <c r="J369" s="67"/>
    </row>
    <row r="370" ht="14.25" customHeight="1">
      <c r="C370" s="67"/>
      <c r="H370" s="78"/>
      <c r="J370" s="67"/>
    </row>
    <row r="371" ht="14.25" customHeight="1">
      <c r="C371" s="67"/>
      <c r="H371" s="78"/>
      <c r="J371" s="67"/>
    </row>
    <row r="372" ht="14.25" customHeight="1">
      <c r="C372" s="67"/>
      <c r="H372" s="78"/>
      <c r="J372" s="67"/>
    </row>
    <row r="373" ht="14.25" customHeight="1">
      <c r="C373" s="67"/>
      <c r="H373" s="78"/>
      <c r="J373" s="67"/>
    </row>
    <row r="374" ht="14.25" customHeight="1">
      <c r="C374" s="67"/>
      <c r="H374" s="78"/>
      <c r="J374" s="67"/>
    </row>
    <row r="375" ht="14.25" customHeight="1">
      <c r="C375" s="67"/>
      <c r="H375" s="78"/>
      <c r="J375" s="67"/>
    </row>
    <row r="376" ht="14.25" customHeight="1">
      <c r="C376" s="67"/>
      <c r="H376" s="78"/>
      <c r="J376" s="67"/>
    </row>
    <row r="377" ht="14.25" customHeight="1">
      <c r="C377" s="67"/>
      <c r="H377" s="78"/>
      <c r="J377" s="67"/>
    </row>
    <row r="378" ht="14.25" customHeight="1">
      <c r="C378" s="67"/>
      <c r="H378" s="78"/>
      <c r="J378" s="67"/>
    </row>
    <row r="379" ht="14.25" customHeight="1">
      <c r="C379" s="67"/>
      <c r="H379" s="78"/>
      <c r="J379" s="67"/>
    </row>
    <row r="380" ht="14.25" customHeight="1">
      <c r="C380" s="67"/>
      <c r="H380" s="78"/>
      <c r="J380" s="67"/>
    </row>
    <row r="381" ht="14.25" customHeight="1">
      <c r="C381" s="67"/>
      <c r="H381" s="78"/>
      <c r="J381" s="67"/>
    </row>
    <row r="382" ht="14.25" customHeight="1">
      <c r="C382" s="67"/>
      <c r="H382" s="78"/>
      <c r="J382" s="67"/>
    </row>
    <row r="383" ht="14.25" customHeight="1">
      <c r="C383" s="67"/>
      <c r="H383" s="78"/>
      <c r="J383" s="67"/>
    </row>
    <row r="384" ht="14.25" customHeight="1">
      <c r="C384" s="67"/>
      <c r="H384" s="78"/>
      <c r="J384" s="67"/>
    </row>
    <row r="385" ht="14.25" customHeight="1">
      <c r="C385" s="67"/>
      <c r="H385" s="78"/>
      <c r="J385" s="67"/>
    </row>
    <row r="386" ht="14.25" customHeight="1">
      <c r="C386" s="67"/>
      <c r="H386" s="78"/>
      <c r="J386" s="67"/>
    </row>
    <row r="387" ht="14.25" customHeight="1">
      <c r="C387" s="67"/>
      <c r="H387" s="78"/>
      <c r="J387" s="67"/>
    </row>
    <row r="388" ht="14.25" customHeight="1">
      <c r="C388" s="67"/>
      <c r="H388" s="78"/>
      <c r="J388" s="67"/>
    </row>
    <row r="389" ht="14.25" customHeight="1">
      <c r="C389" s="67"/>
      <c r="H389" s="78"/>
      <c r="J389" s="67"/>
    </row>
    <row r="390" ht="14.25" customHeight="1">
      <c r="C390" s="67"/>
      <c r="H390" s="78"/>
      <c r="J390" s="67"/>
    </row>
    <row r="391" ht="14.25" customHeight="1">
      <c r="C391" s="67"/>
      <c r="H391" s="78"/>
      <c r="J391" s="67"/>
    </row>
    <row r="392" ht="14.25" customHeight="1">
      <c r="C392" s="67"/>
      <c r="H392" s="78"/>
      <c r="J392" s="67"/>
    </row>
    <row r="393" ht="14.25" customHeight="1">
      <c r="C393" s="67"/>
      <c r="H393" s="78"/>
      <c r="J393" s="67"/>
    </row>
    <row r="394" ht="14.25" customHeight="1">
      <c r="C394" s="67"/>
      <c r="H394" s="78"/>
      <c r="J394" s="67"/>
    </row>
    <row r="395" ht="14.25" customHeight="1">
      <c r="C395" s="67"/>
      <c r="H395" s="78"/>
      <c r="J395" s="67"/>
    </row>
    <row r="396" ht="14.25" customHeight="1">
      <c r="C396" s="67"/>
      <c r="H396" s="78"/>
      <c r="J396" s="67"/>
    </row>
    <row r="397" ht="14.25" customHeight="1">
      <c r="C397" s="67"/>
      <c r="H397" s="78"/>
      <c r="J397" s="67"/>
    </row>
    <row r="398" ht="14.25" customHeight="1">
      <c r="C398" s="67"/>
      <c r="H398" s="78"/>
      <c r="J398" s="67"/>
    </row>
    <row r="399" ht="14.25" customHeight="1">
      <c r="C399" s="67"/>
      <c r="H399" s="78"/>
      <c r="J399" s="67"/>
    </row>
    <row r="400" ht="14.25" customHeight="1">
      <c r="C400" s="67"/>
      <c r="H400" s="78"/>
      <c r="J400" s="67"/>
    </row>
    <row r="401" ht="14.25" customHeight="1">
      <c r="C401" s="67"/>
      <c r="H401" s="78"/>
      <c r="J401" s="67"/>
    </row>
    <row r="402" ht="14.25" customHeight="1">
      <c r="C402" s="67"/>
      <c r="H402" s="78"/>
      <c r="J402" s="67"/>
    </row>
    <row r="403" ht="14.25" customHeight="1">
      <c r="C403" s="67"/>
      <c r="H403" s="78"/>
      <c r="J403" s="67"/>
    </row>
    <row r="404" ht="14.25" customHeight="1">
      <c r="C404" s="67"/>
      <c r="H404" s="78"/>
      <c r="J404" s="67"/>
    </row>
    <row r="405" ht="14.25" customHeight="1">
      <c r="C405" s="67"/>
      <c r="H405" s="78"/>
      <c r="J405" s="67"/>
    </row>
    <row r="406" ht="14.25" customHeight="1">
      <c r="C406" s="67"/>
      <c r="H406" s="78"/>
      <c r="J406" s="67"/>
    </row>
    <row r="407" ht="14.25" customHeight="1">
      <c r="C407" s="67"/>
      <c r="H407" s="78"/>
      <c r="J407" s="67"/>
    </row>
    <row r="408" ht="14.25" customHeight="1">
      <c r="C408" s="67"/>
      <c r="H408" s="78"/>
      <c r="J408" s="67"/>
    </row>
    <row r="409" ht="14.25" customHeight="1">
      <c r="C409" s="67"/>
      <c r="H409" s="78"/>
      <c r="J409" s="67"/>
    </row>
    <row r="410" ht="14.25" customHeight="1">
      <c r="C410" s="67"/>
      <c r="H410" s="78"/>
      <c r="J410" s="67"/>
    </row>
    <row r="411" ht="14.25" customHeight="1">
      <c r="C411" s="67"/>
      <c r="H411" s="78"/>
      <c r="J411" s="67"/>
    </row>
    <row r="412" ht="14.25" customHeight="1">
      <c r="C412" s="67"/>
      <c r="H412" s="78"/>
      <c r="J412" s="67"/>
    </row>
    <row r="413" ht="14.25" customHeight="1">
      <c r="C413" s="67"/>
      <c r="H413" s="78"/>
      <c r="J413" s="67"/>
    </row>
    <row r="414" ht="14.25" customHeight="1">
      <c r="C414" s="67"/>
      <c r="H414" s="78"/>
      <c r="J414" s="67"/>
    </row>
    <row r="415" ht="14.25" customHeight="1">
      <c r="C415" s="67"/>
      <c r="H415" s="78"/>
      <c r="J415" s="67"/>
    </row>
    <row r="416" ht="14.25" customHeight="1">
      <c r="C416" s="67"/>
      <c r="H416" s="78"/>
      <c r="J416" s="67"/>
    </row>
    <row r="417" ht="14.25" customHeight="1">
      <c r="C417" s="67"/>
      <c r="H417" s="78"/>
      <c r="J417" s="67"/>
    </row>
    <row r="418" ht="14.25" customHeight="1">
      <c r="C418" s="67"/>
      <c r="H418" s="78"/>
      <c r="J418" s="67"/>
    </row>
    <row r="419" ht="14.25" customHeight="1">
      <c r="C419" s="67"/>
      <c r="H419" s="78"/>
      <c r="J419" s="67"/>
    </row>
    <row r="420" ht="14.25" customHeight="1">
      <c r="C420" s="67"/>
      <c r="H420" s="78"/>
      <c r="J420" s="67"/>
    </row>
    <row r="421" ht="14.25" customHeight="1">
      <c r="C421" s="67"/>
      <c r="H421" s="78"/>
      <c r="J421" s="67"/>
    </row>
    <row r="422" ht="14.25" customHeight="1">
      <c r="C422" s="67"/>
      <c r="H422" s="78"/>
      <c r="J422" s="67"/>
    </row>
    <row r="423" ht="14.25" customHeight="1">
      <c r="C423" s="67"/>
      <c r="H423" s="78"/>
      <c r="J423" s="67"/>
    </row>
    <row r="424" ht="14.25" customHeight="1">
      <c r="C424" s="67"/>
      <c r="H424" s="78"/>
      <c r="J424" s="67"/>
    </row>
    <row r="425" ht="14.25" customHeight="1">
      <c r="C425" s="67"/>
      <c r="H425" s="78"/>
      <c r="J425" s="67"/>
    </row>
    <row r="426" ht="14.25" customHeight="1">
      <c r="C426" s="67"/>
      <c r="H426" s="78"/>
      <c r="J426" s="67"/>
    </row>
    <row r="427" ht="14.25" customHeight="1">
      <c r="C427" s="67"/>
      <c r="H427" s="78"/>
      <c r="J427" s="67"/>
    </row>
    <row r="428" ht="14.25" customHeight="1">
      <c r="C428" s="67"/>
      <c r="H428" s="78"/>
      <c r="J428" s="67"/>
    </row>
    <row r="429" ht="14.25" customHeight="1">
      <c r="C429" s="67"/>
      <c r="H429" s="78"/>
      <c r="J429" s="67"/>
    </row>
    <row r="430" ht="14.25" customHeight="1">
      <c r="C430" s="67"/>
      <c r="H430" s="78"/>
      <c r="J430" s="67"/>
    </row>
    <row r="431" ht="14.25" customHeight="1">
      <c r="C431" s="67"/>
      <c r="H431" s="78"/>
      <c r="J431" s="67"/>
    </row>
    <row r="432" ht="14.25" customHeight="1">
      <c r="C432" s="67"/>
      <c r="H432" s="78"/>
      <c r="J432" s="67"/>
    </row>
    <row r="433" ht="14.25" customHeight="1">
      <c r="C433" s="67"/>
      <c r="H433" s="78"/>
      <c r="J433" s="67"/>
    </row>
    <row r="434" ht="14.25" customHeight="1">
      <c r="C434" s="67"/>
      <c r="H434" s="78"/>
      <c r="J434" s="67"/>
    </row>
    <row r="435" ht="14.25" customHeight="1">
      <c r="C435" s="67"/>
      <c r="H435" s="78"/>
      <c r="J435" s="67"/>
    </row>
    <row r="436" ht="14.25" customHeight="1">
      <c r="C436" s="67"/>
      <c r="H436" s="78"/>
      <c r="J436" s="67"/>
    </row>
    <row r="437" ht="14.25" customHeight="1">
      <c r="C437" s="67"/>
      <c r="H437" s="78"/>
      <c r="J437" s="67"/>
    </row>
    <row r="438" ht="14.25" customHeight="1">
      <c r="C438" s="67"/>
      <c r="H438" s="78"/>
      <c r="J438" s="67"/>
    </row>
    <row r="439" ht="14.25" customHeight="1">
      <c r="C439" s="67"/>
      <c r="H439" s="78"/>
      <c r="J439" s="67"/>
    </row>
    <row r="440" ht="14.25" customHeight="1">
      <c r="C440" s="67"/>
      <c r="H440" s="78"/>
      <c r="J440" s="67"/>
    </row>
    <row r="441" ht="14.25" customHeight="1">
      <c r="C441" s="67"/>
      <c r="H441" s="78"/>
      <c r="J441" s="67"/>
    </row>
    <row r="442" ht="14.25" customHeight="1">
      <c r="C442" s="67"/>
      <c r="H442" s="78"/>
      <c r="J442" s="67"/>
    </row>
    <row r="443" ht="14.25" customHeight="1">
      <c r="C443" s="67"/>
      <c r="H443" s="78"/>
      <c r="J443" s="67"/>
    </row>
    <row r="444" ht="14.25" customHeight="1">
      <c r="C444" s="67"/>
      <c r="H444" s="78"/>
      <c r="J444" s="67"/>
    </row>
    <row r="445" ht="14.25" customHeight="1">
      <c r="C445" s="67"/>
      <c r="H445" s="78"/>
      <c r="J445" s="67"/>
    </row>
    <row r="446" ht="14.25" customHeight="1">
      <c r="C446" s="67"/>
      <c r="H446" s="78"/>
      <c r="J446" s="67"/>
    </row>
    <row r="447" ht="14.25" customHeight="1">
      <c r="C447" s="67"/>
      <c r="H447" s="78"/>
      <c r="J447" s="67"/>
    </row>
    <row r="448" ht="14.25" customHeight="1">
      <c r="C448" s="67"/>
      <c r="H448" s="78"/>
      <c r="J448" s="67"/>
    </row>
    <row r="449" ht="14.25" customHeight="1">
      <c r="C449" s="67"/>
      <c r="H449" s="78"/>
      <c r="J449" s="67"/>
    </row>
    <row r="450" ht="14.25" customHeight="1">
      <c r="C450" s="67"/>
      <c r="H450" s="78"/>
      <c r="J450" s="67"/>
    </row>
    <row r="451" ht="14.25" customHeight="1">
      <c r="C451" s="67"/>
      <c r="H451" s="78"/>
      <c r="J451" s="67"/>
    </row>
    <row r="452" ht="14.25" customHeight="1">
      <c r="C452" s="67"/>
      <c r="H452" s="78"/>
      <c r="J452" s="67"/>
    </row>
    <row r="453" ht="14.25" customHeight="1">
      <c r="C453" s="67"/>
      <c r="H453" s="78"/>
      <c r="J453" s="67"/>
    </row>
    <row r="454" ht="14.25" customHeight="1">
      <c r="C454" s="67"/>
      <c r="H454" s="78"/>
      <c r="J454" s="67"/>
    </row>
    <row r="455" ht="14.25" customHeight="1">
      <c r="C455" s="67"/>
      <c r="H455" s="78"/>
      <c r="J455" s="67"/>
    </row>
    <row r="456" ht="14.25" customHeight="1">
      <c r="C456" s="67"/>
      <c r="H456" s="78"/>
      <c r="J456" s="67"/>
    </row>
    <row r="457" ht="14.25" customHeight="1">
      <c r="C457" s="67"/>
      <c r="H457" s="78"/>
      <c r="J457" s="67"/>
    </row>
    <row r="458" ht="14.25" customHeight="1">
      <c r="C458" s="67"/>
      <c r="H458" s="78"/>
      <c r="J458" s="67"/>
    </row>
    <row r="459" ht="14.25" customHeight="1">
      <c r="C459" s="67"/>
      <c r="H459" s="78"/>
      <c r="J459" s="67"/>
    </row>
    <row r="460" ht="14.25" customHeight="1">
      <c r="C460" s="67"/>
      <c r="H460" s="78"/>
      <c r="J460" s="67"/>
    </row>
    <row r="461" ht="14.25" customHeight="1">
      <c r="C461" s="67"/>
      <c r="H461" s="78"/>
      <c r="J461" s="67"/>
    </row>
    <row r="462" ht="14.25" customHeight="1">
      <c r="C462" s="67"/>
      <c r="H462" s="78"/>
      <c r="J462" s="67"/>
    </row>
    <row r="463" ht="14.25" customHeight="1">
      <c r="C463" s="67"/>
      <c r="H463" s="78"/>
      <c r="J463" s="67"/>
    </row>
    <row r="464" ht="14.25" customHeight="1">
      <c r="C464" s="67"/>
      <c r="H464" s="78"/>
      <c r="J464" s="67"/>
    </row>
    <row r="465" ht="14.25" customHeight="1">
      <c r="C465" s="67"/>
      <c r="H465" s="78"/>
      <c r="J465" s="67"/>
    </row>
    <row r="466" ht="14.25" customHeight="1">
      <c r="C466" s="67"/>
      <c r="H466" s="78"/>
      <c r="J466" s="67"/>
    </row>
    <row r="467" ht="14.25" customHeight="1">
      <c r="C467" s="67"/>
      <c r="H467" s="78"/>
      <c r="J467" s="67"/>
    </row>
    <row r="468" ht="14.25" customHeight="1">
      <c r="C468" s="67"/>
      <c r="H468" s="78"/>
      <c r="J468" s="67"/>
    </row>
    <row r="469" ht="14.25" customHeight="1">
      <c r="C469" s="67"/>
      <c r="H469" s="78"/>
      <c r="J469" s="67"/>
    </row>
    <row r="470" ht="14.25" customHeight="1">
      <c r="C470" s="67"/>
      <c r="H470" s="78"/>
      <c r="J470" s="67"/>
    </row>
    <row r="471" ht="14.25" customHeight="1">
      <c r="C471" s="67"/>
      <c r="H471" s="78"/>
      <c r="J471" s="67"/>
    </row>
    <row r="472" ht="14.25" customHeight="1">
      <c r="C472" s="67"/>
      <c r="H472" s="78"/>
      <c r="J472" s="67"/>
    </row>
    <row r="473" ht="14.25" customHeight="1">
      <c r="C473" s="67"/>
      <c r="H473" s="78"/>
      <c r="J473" s="67"/>
    </row>
    <row r="474" ht="14.25" customHeight="1">
      <c r="C474" s="67"/>
      <c r="H474" s="78"/>
      <c r="J474" s="67"/>
    </row>
    <row r="475" ht="14.25" customHeight="1">
      <c r="C475" s="67"/>
      <c r="H475" s="78"/>
      <c r="J475" s="67"/>
    </row>
    <row r="476" ht="14.25" customHeight="1">
      <c r="C476" s="67"/>
      <c r="H476" s="78"/>
      <c r="J476" s="67"/>
    </row>
    <row r="477" ht="14.25" customHeight="1">
      <c r="C477" s="67"/>
      <c r="H477" s="78"/>
      <c r="J477" s="67"/>
    </row>
    <row r="478" ht="14.25" customHeight="1">
      <c r="C478" s="67"/>
      <c r="H478" s="78"/>
      <c r="J478" s="67"/>
    </row>
    <row r="479" ht="14.25" customHeight="1">
      <c r="C479" s="67"/>
      <c r="H479" s="78"/>
      <c r="J479" s="67"/>
    </row>
    <row r="480" ht="14.25" customHeight="1">
      <c r="C480" s="67"/>
      <c r="H480" s="78"/>
      <c r="J480" s="67"/>
    </row>
    <row r="481" ht="14.25" customHeight="1">
      <c r="C481" s="67"/>
      <c r="H481" s="78"/>
      <c r="J481" s="67"/>
    </row>
    <row r="482" ht="14.25" customHeight="1">
      <c r="C482" s="67"/>
      <c r="H482" s="78"/>
      <c r="J482" s="67"/>
    </row>
    <row r="483" ht="14.25" customHeight="1">
      <c r="C483" s="67"/>
      <c r="H483" s="78"/>
      <c r="J483" s="67"/>
    </row>
    <row r="484" ht="14.25" customHeight="1">
      <c r="C484" s="67"/>
      <c r="H484" s="78"/>
      <c r="J484" s="67"/>
    </row>
    <row r="485" ht="14.25" customHeight="1">
      <c r="C485" s="67"/>
      <c r="H485" s="78"/>
      <c r="J485" s="67"/>
    </row>
    <row r="486" ht="14.25" customHeight="1">
      <c r="C486" s="67"/>
      <c r="H486" s="78"/>
      <c r="J486" s="67"/>
    </row>
    <row r="487" ht="14.25" customHeight="1">
      <c r="C487" s="67"/>
      <c r="H487" s="78"/>
      <c r="J487" s="67"/>
    </row>
    <row r="488" ht="14.25" customHeight="1">
      <c r="C488" s="67"/>
      <c r="H488" s="78"/>
      <c r="J488" s="67"/>
    </row>
    <row r="489" ht="14.25" customHeight="1">
      <c r="C489" s="67"/>
      <c r="H489" s="78"/>
      <c r="J489" s="67"/>
    </row>
    <row r="490" ht="14.25" customHeight="1">
      <c r="C490" s="67"/>
      <c r="H490" s="78"/>
      <c r="J490" s="67"/>
    </row>
    <row r="491" ht="14.25" customHeight="1">
      <c r="C491" s="67"/>
      <c r="H491" s="78"/>
      <c r="J491" s="67"/>
    </row>
    <row r="492" ht="14.25" customHeight="1">
      <c r="C492" s="67"/>
      <c r="H492" s="78"/>
      <c r="J492" s="67"/>
    </row>
    <row r="493" ht="14.25" customHeight="1">
      <c r="C493" s="67"/>
      <c r="H493" s="78"/>
      <c r="J493" s="67"/>
    </row>
    <row r="494" ht="14.25" customHeight="1">
      <c r="C494" s="67"/>
      <c r="H494" s="78"/>
      <c r="J494" s="67"/>
    </row>
    <row r="495" ht="14.25" customHeight="1">
      <c r="C495" s="67"/>
      <c r="H495" s="78"/>
      <c r="J495" s="67"/>
    </row>
    <row r="496" ht="14.25" customHeight="1">
      <c r="C496" s="67"/>
      <c r="H496" s="78"/>
      <c r="J496" s="67"/>
    </row>
    <row r="497" ht="14.25" customHeight="1">
      <c r="C497" s="67"/>
      <c r="H497" s="78"/>
      <c r="J497" s="67"/>
    </row>
    <row r="498" ht="14.25" customHeight="1">
      <c r="C498" s="67"/>
      <c r="H498" s="78"/>
      <c r="J498" s="67"/>
    </row>
    <row r="499" ht="14.25" customHeight="1">
      <c r="C499" s="67"/>
      <c r="H499" s="78"/>
      <c r="J499" s="67"/>
    </row>
    <row r="500" ht="14.25" customHeight="1">
      <c r="C500" s="67"/>
      <c r="H500" s="78"/>
      <c r="J500" s="67"/>
    </row>
    <row r="501" ht="14.25" customHeight="1">
      <c r="C501" s="67"/>
      <c r="H501" s="78"/>
      <c r="J501" s="67"/>
    </row>
    <row r="502" ht="14.25" customHeight="1">
      <c r="C502" s="67"/>
      <c r="H502" s="78"/>
      <c r="J502" s="67"/>
    </row>
    <row r="503" ht="14.25" customHeight="1">
      <c r="C503" s="67"/>
      <c r="H503" s="78"/>
      <c r="J503" s="67"/>
    </row>
    <row r="504" ht="14.25" customHeight="1">
      <c r="C504" s="67"/>
      <c r="H504" s="78"/>
      <c r="J504" s="67"/>
    </row>
    <row r="505" ht="14.25" customHeight="1">
      <c r="C505" s="67"/>
      <c r="H505" s="78"/>
      <c r="J505" s="67"/>
    </row>
    <row r="506" ht="14.25" customHeight="1">
      <c r="C506" s="67"/>
      <c r="H506" s="78"/>
      <c r="J506" s="67"/>
    </row>
    <row r="507" ht="14.25" customHeight="1">
      <c r="C507" s="67"/>
      <c r="H507" s="78"/>
      <c r="J507" s="67"/>
    </row>
    <row r="508" ht="14.25" customHeight="1">
      <c r="C508" s="67"/>
      <c r="H508" s="78"/>
      <c r="J508" s="67"/>
    </row>
    <row r="509" ht="14.25" customHeight="1">
      <c r="C509" s="67"/>
      <c r="H509" s="78"/>
      <c r="J509" s="67"/>
    </row>
    <row r="510" ht="14.25" customHeight="1">
      <c r="C510" s="67"/>
      <c r="H510" s="78"/>
      <c r="J510" s="67"/>
    </row>
    <row r="511" ht="14.25" customHeight="1">
      <c r="C511" s="67"/>
      <c r="H511" s="78"/>
      <c r="J511" s="67"/>
    </row>
    <row r="512" ht="14.25" customHeight="1">
      <c r="C512" s="67"/>
      <c r="H512" s="78"/>
      <c r="J512" s="67"/>
    </row>
    <row r="513" ht="14.25" customHeight="1">
      <c r="C513" s="67"/>
      <c r="H513" s="78"/>
      <c r="J513" s="67"/>
    </row>
    <row r="514" ht="14.25" customHeight="1">
      <c r="C514" s="67"/>
      <c r="H514" s="78"/>
      <c r="J514" s="67"/>
    </row>
    <row r="515" ht="14.25" customHeight="1">
      <c r="C515" s="67"/>
      <c r="H515" s="78"/>
      <c r="J515" s="67"/>
    </row>
    <row r="516" ht="14.25" customHeight="1">
      <c r="C516" s="67"/>
      <c r="H516" s="78"/>
      <c r="J516" s="67"/>
    </row>
    <row r="517" ht="14.25" customHeight="1">
      <c r="C517" s="67"/>
      <c r="H517" s="78"/>
      <c r="J517" s="67"/>
    </row>
    <row r="518" ht="14.25" customHeight="1">
      <c r="C518" s="67"/>
      <c r="H518" s="78"/>
      <c r="J518" s="67"/>
    </row>
    <row r="519" ht="14.25" customHeight="1">
      <c r="C519" s="67"/>
      <c r="H519" s="78"/>
      <c r="J519" s="67"/>
    </row>
    <row r="520" ht="14.25" customHeight="1">
      <c r="C520" s="67"/>
      <c r="H520" s="78"/>
      <c r="J520" s="67"/>
    </row>
    <row r="521" ht="14.25" customHeight="1">
      <c r="C521" s="67"/>
      <c r="H521" s="78"/>
      <c r="J521" s="67"/>
    </row>
    <row r="522" ht="14.25" customHeight="1">
      <c r="C522" s="67"/>
      <c r="H522" s="78"/>
      <c r="J522" s="67"/>
    </row>
    <row r="523" ht="14.25" customHeight="1">
      <c r="C523" s="67"/>
      <c r="H523" s="78"/>
      <c r="J523" s="67"/>
    </row>
    <row r="524" ht="14.25" customHeight="1">
      <c r="C524" s="67"/>
      <c r="H524" s="78"/>
      <c r="J524" s="67"/>
    </row>
    <row r="525" ht="14.25" customHeight="1">
      <c r="C525" s="67"/>
      <c r="H525" s="78"/>
      <c r="J525" s="67"/>
    </row>
    <row r="526" ht="14.25" customHeight="1">
      <c r="C526" s="67"/>
      <c r="H526" s="78"/>
      <c r="J526" s="67"/>
    </row>
    <row r="527" ht="14.25" customHeight="1">
      <c r="C527" s="67"/>
      <c r="H527" s="78"/>
      <c r="J527" s="67"/>
    </row>
    <row r="528" ht="14.25" customHeight="1">
      <c r="C528" s="67"/>
      <c r="H528" s="78"/>
      <c r="J528" s="67"/>
    </row>
    <row r="529" ht="14.25" customHeight="1">
      <c r="C529" s="67"/>
      <c r="H529" s="78"/>
      <c r="J529" s="67"/>
    </row>
    <row r="530" ht="14.25" customHeight="1">
      <c r="C530" s="67"/>
      <c r="H530" s="78"/>
      <c r="J530" s="67"/>
    </row>
    <row r="531" ht="14.25" customHeight="1">
      <c r="C531" s="67"/>
      <c r="H531" s="78"/>
      <c r="J531" s="67"/>
    </row>
    <row r="532" ht="14.25" customHeight="1">
      <c r="C532" s="67"/>
      <c r="H532" s="78"/>
      <c r="J532" s="67"/>
    </row>
    <row r="533" ht="14.25" customHeight="1">
      <c r="C533" s="67"/>
      <c r="H533" s="78"/>
      <c r="J533" s="67"/>
    </row>
    <row r="534" ht="14.25" customHeight="1">
      <c r="C534" s="67"/>
      <c r="H534" s="78"/>
      <c r="J534" s="67"/>
    </row>
    <row r="535" ht="14.25" customHeight="1">
      <c r="C535" s="67"/>
      <c r="H535" s="78"/>
      <c r="J535" s="67"/>
    </row>
    <row r="536" ht="14.25" customHeight="1">
      <c r="C536" s="67"/>
      <c r="H536" s="78"/>
      <c r="J536" s="67"/>
    </row>
    <row r="537" ht="14.25" customHeight="1">
      <c r="C537" s="67"/>
      <c r="H537" s="78"/>
      <c r="J537" s="67"/>
    </row>
    <row r="538" ht="14.25" customHeight="1">
      <c r="C538" s="67"/>
      <c r="H538" s="78"/>
      <c r="J538" s="67"/>
    </row>
    <row r="539" ht="14.25" customHeight="1">
      <c r="C539" s="67"/>
      <c r="H539" s="78"/>
      <c r="J539" s="67"/>
    </row>
    <row r="540" ht="14.25" customHeight="1">
      <c r="C540" s="67"/>
      <c r="H540" s="78"/>
      <c r="J540" s="67"/>
    </row>
    <row r="541" ht="14.25" customHeight="1">
      <c r="C541" s="67"/>
      <c r="H541" s="78"/>
      <c r="J541" s="67"/>
    </row>
    <row r="542" ht="14.25" customHeight="1">
      <c r="C542" s="67"/>
      <c r="H542" s="78"/>
      <c r="J542" s="67"/>
    </row>
    <row r="543" ht="14.25" customHeight="1">
      <c r="C543" s="67"/>
      <c r="H543" s="78"/>
      <c r="J543" s="67"/>
    </row>
    <row r="544" ht="14.25" customHeight="1">
      <c r="C544" s="67"/>
      <c r="H544" s="78"/>
      <c r="J544" s="67"/>
    </row>
    <row r="545" ht="14.25" customHeight="1">
      <c r="C545" s="67"/>
      <c r="H545" s="78"/>
      <c r="J545" s="67"/>
    </row>
    <row r="546" ht="14.25" customHeight="1">
      <c r="C546" s="67"/>
      <c r="H546" s="78"/>
      <c r="J546" s="67"/>
    </row>
    <row r="547" ht="14.25" customHeight="1">
      <c r="C547" s="67"/>
      <c r="H547" s="78"/>
      <c r="J547" s="67"/>
    </row>
    <row r="548" ht="14.25" customHeight="1">
      <c r="C548" s="67"/>
      <c r="H548" s="78"/>
      <c r="J548" s="67"/>
    </row>
    <row r="549" ht="14.25" customHeight="1">
      <c r="C549" s="67"/>
      <c r="H549" s="78"/>
      <c r="J549" s="67"/>
    </row>
    <row r="550" ht="14.25" customHeight="1">
      <c r="C550" s="67"/>
      <c r="H550" s="78"/>
      <c r="J550" s="67"/>
    </row>
    <row r="551" ht="14.25" customHeight="1">
      <c r="C551" s="67"/>
      <c r="H551" s="78"/>
      <c r="J551" s="67"/>
    </row>
    <row r="552" ht="14.25" customHeight="1">
      <c r="C552" s="67"/>
      <c r="H552" s="78"/>
      <c r="J552" s="67"/>
    </row>
    <row r="553" ht="14.25" customHeight="1">
      <c r="C553" s="67"/>
      <c r="H553" s="78"/>
      <c r="J553" s="67"/>
    </row>
    <row r="554" ht="14.25" customHeight="1">
      <c r="C554" s="67"/>
      <c r="H554" s="78"/>
      <c r="J554" s="67"/>
    </row>
    <row r="555" ht="14.25" customHeight="1">
      <c r="C555" s="67"/>
      <c r="H555" s="78"/>
      <c r="J555" s="67"/>
    </row>
    <row r="556" ht="14.25" customHeight="1">
      <c r="C556" s="67"/>
      <c r="H556" s="78"/>
      <c r="J556" s="67"/>
    </row>
    <row r="557" ht="14.25" customHeight="1">
      <c r="C557" s="67"/>
      <c r="H557" s="78"/>
      <c r="J557" s="67"/>
    </row>
    <row r="558" ht="14.25" customHeight="1">
      <c r="C558" s="67"/>
      <c r="H558" s="78"/>
      <c r="J558" s="67"/>
    </row>
    <row r="559" ht="14.25" customHeight="1">
      <c r="C559" s="67"/>
      <c r="H559" s="78"/>
      <c r="J559" s="67"/>
    </row>
    <row r="560" ht="14.25" customHeight="1">
      <c r="C560" s="67"/>
      <c r="H560" s="78"/>
      <c r="J560" s="67"/>
    </row>
    <row r="561" ht="14.25" customHeight="1">
      <c r="C561" s="67"/>
      <c r="H561" s="78"/>
      <c r="J561" s="67"/>
    </row>
    <row r="562" ht="14.25" customHeight="1">
      <c r="C562" s="67"/>
      <c r="H562" s="78"/>
      <c r="J562" s="67"/>
    </row>
    <row r="563" ht="14.25" customHeight="1">
      <c r="C563" s="67"/>
      <c r="H563" s="78"/>
      <c r="J563" s="67"/>
    </row>
    <row r="564" ht="14.25" customHeight="1">
      <c r="C564" s="67"/>
      <c r="H564" s="78"/>
      <c r="J564" s="67"/>
    </row>
    <row r="565" ht="14.25" customHeight="1">
      <c r="C565" s="67"/>
      <c r="H565" s="78"/>
      <c r="J565" s="67"/>
    </row>
    <row r="566" ht="14.25" customHeight="1">
      <c r="C566" s="67"/>
      <c r="H566" s="78"/>
      <c r="J566" s="67"/>
    </row>
    <row r="567" ht="14.25" customHeight="1">
      <c r="C567" s="67"/>
      <c r="H567" s="78"/>
      <c r="J567" s="67"/>
    </row>
    <row r="568" ht="14.25" customHeight="1">
      <c r="C568" s="67"/>
      <c r="H568" s="78"/>
      <c r="J568" s="67"/>
    </row>
    <row r="569" ht="14.25" customHeight="1">
      <c r="C569" s="67"/>
      <c r="H569" s="78"/>
      <c r="J569" s="67"/>
    </row>
    <row r="570" ht="14.25" customHeight="1">
      <c r="C570" s="67"/>
      <c r="H570" s="78"/>
      <c r="J570" s="67"/>
    </row>
    <row r="571" ht="14.25" customHeight="1">
      <c r="C571" s="67"/>
      <c r="H571" s="78"/>
      <c r="J571" s="67"/>
    </row>
    <row r="572" ht="14.25" customHeight="1">
      <c r="C572" s="67"/>
      <c r="H572" s="78"/>
      <c r="J572" s="67"/>
    </row>
    <row r="573" ht="14.25" customHeight="1">
      <c r="C573" s="67"/>
      <c r="H573" s="78"/>
      <c r="J573" s="67"/>
    </row>
    <row r="574" ht="14.25" customHeight="1">
      <c r="C574" s="67"/>
      <c r="H574" s="78"/>
      <c r="J574" s="67"/>
    </row>
    <row r="575" ht="14.25" customHeight="1">
      <c r="C575" s="67"/>
      <c r="H575" s="78"/>
      <c r="J575" s="67"/>
    </row>
    <row r="576" ht="14.25" customHeight="1">
      <c r="C576" s="67"/>
      <c r="H576" s="78"/>
      <c r="J576" s="67"/>
    </row>
    <row r="577" ht="14.25" customHeight="1">
      <c r="C577" s="67"/>
      <c r="H577" s="78"/>
      <c r="J577" s="67"/>
    </row>
    <row r="578" ht="14.25" customHeight="1">
      <c r="C578" s="67"/>
      <c r="H578" s="78"/>
      <c r="J578" s="67"/>
    </row>
    <row r="579" ht="14.25" customHeight="1">
      <c r="C579" s="67"/>
      <c r="H579" s="78"/>
      <c r="J579" s="67"/>
    </row>
    <row r="580" ht="14.25" customHeight="1">
      <c r="C580" s="67"/>
      <c r="H580" s="78"/>
      <c r="J580" s="67"/>
    </row>
    <row r="581" ht="14.25" customHeight="1">
      <c r="C581" s="67"/>
      <c r="H581" s="78"/>
      <c r="J581" s="67"/>
    </row>
    <row r="582" ht="14.25" customHeight="1">
      <c r="C582" s="67"/>
      <c r="H582" s="78"/>
      <c r="J582" s="67"/>
    </row>
    <row r="583" ht="14.25" customHeight="1">
      <c r="C583" s="67"/>
      <c r="H583" s="78"/>
      <c r="J583" s="67"/>
    </row>
    <row r="584" ht="14.25" customHeight="1">
      <c r="C584" s="67"/>
      <c r="H584" s="78"/>
      <c r="J584" s="67"/>
    </row>
    <row r="585" ht="14.25" customHeight="1">
      <c r="C585" s="67"/>
      <c r="H585" s="78"/>
      <c r="J585" s="67"/>
    </row>
    <row r="586" ht="14.25" customHeight="1">
      <c r="C586" s="67"/>
      <c r="H586" s="78"/>
      <c r="J586" s="67"/>
    </row>
    <row r="587" ht="14.25" customHeight="1">
      <c r="C587" s="67"/>
      <c r="H587" s="78"/>
      <c r="J587" s="67"/>
    </row>
    <row r="588" ht="14.25" customHeight="1">
      <c r="C588" s="67"/>
      <c r="H588" s="78"/>
      <c r="J588" s="67"/>
    </row>
    <row r="589" ht="14.25" customHeight="1">
      <c r="C589" s="67"/>
      <c r="H589" s="78"/>
      <c r="J589" s="67"/>
    </row>
    <row r="590" ht="14.25" customHeight="1">
      <c r="C590" s="67"/>
      <c r="H590" s="78"/>
      <c r="J590" s="67"/>
    </row>
    <row r="591" ht="14.25" customHeight="1">
      <c r="C591" s="67"/>
      <c r="H591" s="78"/>
      <c r="J591" s="67"/>
    </row>
    <row r="592" ht="14.25" customHeight="1">
      <c r="C592" s="67"/>
      <c r="H592" s="78"/>
      <c r="J592" s="67"/>
    </row>
    <row r="593" ht="14.25" customHeight="1">
      <c r="C593" s="67"/>
      <c r="H593" s="78"/>
      <c r="J593" s="67"/>
    </row>
    <row r="594" ht="14.25" customHeight="1">
      <c r="C594" s="67"/>
      <c r="H594" s="78"/>
      <c r="J594" s="67"/>
    </row>
    <row r="595" ht="14.25" customHeight="1">
      <c r="C595" s="67"/>
      <c r="H595" s="78"/>
      <c r="J595" s="67"/>
    </row>
    <row r="596" ht="14.25" customHeight="1">
      <c r="C596" s="67"/>
      <c r="H596" s="78"/>
      <c r="J596" s="67"/>
    </row>
    <row r="597" ht="14.25" customHeight="1">
      <c r="C597" s="67"/>
      <c r="H597" s="78"/>
      <c r="J597" s="67"/>
    </row>
    <row r="598" ht="14.25" customHeight="1">
      <c r="C598" s="67"/>
      <c r="H598" s="78"/>
      <c r="J598" s="67"/>
    </row>
    <row r="599" ht="14.25" customHeight="1">
      <c r="C599" s="67"/>
      <c r="H599" s="78"/>
      <c r="J599" s="67"/>
    </row>
    <row r="600" ht="14.25" customHeight="1">
      <c r="C600" s="67"/>
      <c r="H600" s="78"/>
      <c r="J600" s="67"/>
    </row>
    <row r="601" ht="14.25" customHeight="1">
      <c r="C601" s="67"/>
      <c r="H601" s="78"/>
      <c r="J601" s="67"/>
    </row>
    <row r="602" ht="14.25" customHeight="1">
      <c r="C602" s="67"/>
      <c r="H602" s="78"/>
      <c r="J602" s="67"/>
    </row>
    <row r="603" ht="14.25" customHeight="1">
      <c r="C603" s="67"/>
      <c r="H603" s="78"/>
      <c r="J603" s="67"/>
    </row>
    <row r="604" ht="14.25" customHeight="1">
      <c r="C604" s="67"/>
      <c r="H604" s="78"/>
      <c r="J604" s="67"/>
    </row>
    <row r="605" ht="14.25" customHeight="1">
      <c r="C605" s="67"/>
      <c r="H605" s="78"/>
      <c r="J605" s="67"/>
    </row>
    <row r="606" ht="14.25" customHeight="1">
      <c r="C606" s="67"/>
      <c r="H606" s="78"/>
      <c r="J606" s="67"/>
    </row>
    <row r="607" ht="14.25" customHeight="1">
      <c r="C607" s="67"/>
      <c r="H607" s="78"/>
      <c r="J607" s="67"/>
    </row>
    <row r="608" ht="14.25" customHeight="1">
      <c r="C608" s="67"/>
      <c r="H608" s="78"/>
      <c r="J608" s="67"/>
    </row>
    <row r="609" ht="14.25" customHeight="1">
      <c r="C609" s="67"/>
      <c r="H609" s="78"/>
      <c r="J609" s="67"/>
    </row>
    <row r="610" ht="14.25" customHeight="1">
      <c r="C610" s="67"/>
      <c r="H610" s="78"/>
      <c r="J610" s="67"/>
    </row>
    <row r="611" ht="14.25" customHeight="1">
      <c r="C611" s="67"/>
      <c r="H611" s="78"/>
      <c r="J611" s="67"/>
    </row>
    <row r="612" ht="14.25" customHeight="1">
      <c r="C612" s="67"/>
      <c r="H612" s="78"/>
      <c r="J612" s="67"/>
    </row>
    <row r="613" ht="14.25" customHeight="1">
      <c r="C613" s="67"/>
      <c r="H613" s="78"/>
      <c r="J613" s="67"/>
    </row>
    <row r="614" ht="14.25" customHeight="1">
      <c r="C614" s="67"/>
      <c r="H614" s="78"/>
      <c r="J614" s="67"/>
    </row>
    <row r="615" ht="14.25" customHeight="1">
      <c r="C615" s="67"/>
      <c r="H615" s="78"/>
      <c r="J615" s="67"/>
    </row>
    <row r="616" ht="14.25" customHeight="1">
      <c r="C616" s="67"/>
      <c r="H616" s="78"/>
      <c r="J616" s="67"/>
    </row>
    <row r="617" ht="14.25" customHeight="1">
      <c r="C617" s="67"/>
      <c r="H617" s="78"/>
      <c r="J617" s="67"/>
    </row>
    <row r="618" ht="14.25" customHeight="1">
      <c r="C618" s="67"/>
      <c r="H618" s="78"/>
      <c r="J618" s="67"/>
    </row>
    <row r="619" ht="14.25" customHeight="1">
      <c r="C619" s="67"/>
      <c r="H619" s="78"/>
      <c r="J619" s="67"/>
    </row>
    <row r="620" ht="14.25" customHeight="1">
      <c r="C620" s="67"/>
      <c r="H620" s="78"/>
      <c r="J620" s="67"/>
    </row>
    <row r="621" ht="14.25" customHeight="1">
      <c r="C621" s="67"/>
      <c r="H621" s="78"/>
      <c r="J621" s="67"/>
    </row>
    <row r="622" ht="14.25" customHeight="1">
      <c r="C622" s="67"/>
      <c r="H622" s="78"/>
      <c r="J622" s="67"/>
    </row>
    <row r="623" ht="14.25" customHeight="1">
      <c r="C623" s="67"/>
      <c r="H623" s="78"/>
      <c r="J623" s="67"/>
    </row>
    <row r="624" ht="14.25" customHeight="1">
      <c r="C624" s="67"/>
      <c r="H624" s="78"/>
      <c r="J624" s="67"/>
    </row>
    <row r="625" ht="14.25" customHeight="1">
      <c r="C625" s="67"/>
      <c r="H625" s="78"/>
      <c r="J625" s="67"/>
    </row>
    <row r="626" ht="14.25" customHeight="1">
      <c r="C626" s="67"/>
      <c r="H626" s="78"/>
      <c r="J626" s="67"/>
    </row>
    <row r="627" ht="14.25" customHeight="1">
      <c r="C627" s="67"/>
      <c r="H627" s="78"/>
      <c r="J627" s="67"/>
    </row>
    <row r="628" ht="14.25" customHeight="1">
      <c r="C628" s="67"/>
      <c r="H628" s="78"/>
      <c r="J628" s="67"/>
    </row>
    <row r="629" ht="14.25" customHeight="1">
      <c r="C629" s="67"/>
      <c r="H629" s="78"/>
      <c r="J629" s="67"/>
    </row>
    <row r="630" ht="14.25" customHeight="1">
      <c r="C630" s="67"/>
      <c r="H630" s="78"/>
      <c r="J630" s="67"/>
    </row>
    <row r="631" ht="14.25" customHeight="1">
      <c r="C631" s="67"/>
      <c r="H631" s="78"/>
      <c r="J631" s="67"/>
    </row>
    <row r="632" ht="14.25" customHeight="1">
      <c r="C632" s="67"/>
      <c r="H632" s="78"/>
      <c r="J632" s="67"/>
    </row>
    <row r="633" ht="14.25" customHeight="1">
      <c r="C633" s="67"/>
      <c r="H633" s="78"/>
      <c r="J633" s="67"/>
    </row>
    <row r="634" ht="14.25" customHeight="1">
      <c r="C634" s="67"/>
      <c r="H634" s="78"/>
      <c r="J634" s="67"/>
    </row>
    <row r="635" ht="14.25" customHeight="1">
      <c r="C635" s="67"/>
      <c r="H635" s="78"/>
      <c r="J635" s="67"/>
    </row>
    <row r="636" ht="14.25" customHeight="1">
      <c r="C636" s="67"/>
      <c r="H636" s="78"/>
      <c r="J636" s="67"/>
    </row>
    <row r="637" ht="14.25" customHeight="1">
      <c r="C637" s="67"/>
      <c r="H637" s="78"/>
      <c r="J637" s="67"/>
    </row>
    <row r="638" ht="14.25" customHeight="1">
      <c r="C638" s="67"/>
      <c r="H638" s="78"/>
      <c r="J638" s="67"/>
    </row>
    <row r="639" ht="14.25" customHeight="1">
      <c r="C639" s="67"/>
      <c r="H639" s="78"/>
      <c r="J639" s="67"/>
    </row>
    <row r="640" ht="14.25" customHeight="1">
      <c r="C640" s="67"/>
      <c r="H640" s="78"/>
      <c r="J640" s="67"/>
    </row>
    <row r="641" ht="14.25" customHeight="1">
      <c r="C641" s="67"/>
      <c r="H641" s="78"/>
      <c r="J641" s="67"/>
    </row>
    <row r="642" ht="14.25" customHeight="1">
      <c r="C642" s="67"/>
      <c r="H642" s="78"/>
      <c r="J642" s="67"/>
    </row>
    <row r="643" ht="14.25" customHeight="1">
      <c r="C643" s="67"/>
      <c r="H643" s="78"/>
      <c r="J643" s="67"/>
    </row>
    <row r="644" ht="14.25" customHeight="1">
      <c r="C644" s="67"/>
      <c r="H644" s="78"/>
      <c r="J644" s="67"/>
    </row>
    <row r="645" ht="14.25" customHeight="1">
      <c r="C645" s="67"/>
      <c r="H645" s="78"/>
      <c r="J645" s="67"/>
    </row>
    <row r="646" ht="14.25" customHeight="1">
      <c r="C646" s="67"/>
      <c r="H646" s="78"/>
      <c r="J646" s="67"/>
    </row>
    <row r="647" ht="14.25" customHeight="1">
      <c r="C647" s="67"/>
      <c r="H647" s="78"/>
      <c r="J647" s="67"/>
    </row>
    <row r="648" ht="14.25" customHeight="1">
      <c r="C648" s="67"/>
      <c r="H648" s="78"/>
      <c r="J648" s="67"/>
    </row>
    <row r="649" ht="14.25" customHeight="1">
      <c r="C649" s="67"/>
      <c r="H649" s="78"/>
      <c r="J649" s="67"/>
    </row>
    <row r="650" ht="14.25" customHeight="1">
      <c r="C650" s="67"/>
      <c r="H650" s="78"/>
      <c r="J650" s="67"/>
    </row>
    <row r="651" ht="14.25" customHeight="1">
      <c r="C651" s="67"/>
      <c r="H651" s="78"/>
      <c r="J651" s="67"/>
    </row>
    <row r="652" ht="14.25" customHeight="1">
      <c r="C652" s="67"/>
      <c r="H652" s="78"/>
      <c r="J652" s="67"/>
    </row>
    <row r="653" ht="14.25" customHeight="1">
      <c r="C653" s="67"/>
      <c r="H653" s="78"/>
      <c r="J653" s="67"/>
    </row>
    <row r="654" ht="14.25" customHeight="1">
      <c r="C654" s="67"/>
      <c r="H654" s="78"/>
      <c r="J654" s="67"/>
    </row>
    <row r="655" ht="14.25" customHeight="1">
      <c r="C655" s="67"/>
      <c r="H655" s="78"/>
      <c r="J655" s="67"/>
    </row>
    <row r="656" ht="14.25" customHeight="1">
      <c r="C656" s="67"/>
      <c r="H656" s="78"/>
      <c r="J656" s="67"/>
    </row>
    <row r="657" ht="14.25" customHeight="1">
      <c r="C657" s="67"/>
      <c r="H657" s="78"/>
      <c r="J657" s="67"/>
    </row>
    <row r="658" ht="14.25" customHeight="1">
      <c r="C658" s="67"/>
      <c r="H658" s="78"/>
      <c r="J658" s="67"/>
    </row>
    <row r="659" ht="14.25" customHeight="1">
      <c r="C659" s="67"/>
      <c r="H659" s="78"/>
      <c r="J659" s="67"/>
    </row>
    <row r="660" ht="14.25" customHeight="1">
      <c r="C660" s="67"/>
      <c r="H660" s="78"/>
      <c r="J660" s="67"/>
    </row>
    <row r="661" ht="14.25" customHeight="1">
      <c r="C661" s="67"/>
      <c r="H661" s="78"/>
      <c r="J661" s="67"/>
    </row>
    <row r="662" ht="14.25" customHeight="1">
      <c r="C662" s="67"/>
      <c r="H662" s="78"/>
      <c r="J662" s="67"/>
    </row>
    <row r="663" ht="14.25" customHeight="1">
      <c r="C663" s="67"/>
      <c r="H663" s="78"/>
      <c r="J663" s="67"/>
    </row>
    <row r="664" ht="14.25" customHeight="1">
      <c r="C664" s="67"/>
      <c r="H664" s="78"/>
      <c r="J664" s="67"/>
    </row>
    <row r="665" ht="14.25" customHeight="1">
      <c r="C665" s="67"/>
      <c r="H665" s="78"/>
      <c r="J665" s="67"/>
    </row>
    <row r="666" ht="14.25" customHeight="1">
      <c r="C666" s="67"/>
      <c r="H666" s="78"/>
      <c r="J666" s="67"/>
    </row>
    <row r="667" ht="14.25" customHeight="1">
      <c r="C667" s="67"/>
      <c r="H667" s="78"/>
      <c r="J667" s="67"/>
    </row>
    <row r="668" ht="14.25" customHeight="1">
      <c r="C668" s="67"/>
      <c r="H668" s="78"/>
      <c r="J668" s="67"/>
    </row>
    <row r="669" ht="14.25" customHeight="1">
      <c r="C669" s="67"/>
      <c r="H669" s="78"/>
      <c r="J669" s="67"/>
    </row>
    <row r="670" ht="14.25" customHeight="1">
      <c r="C670" s="67"/>
      <c r="H670" s="78"/>
      <c r="J670" s="67"/>
    </row>
    <row r="671" ht="14.25" customHeight="1">
      <c r="C671" s="67"/>
      <c r="H671" s="78"/>
      <c r="J671" s="67"/>
    </row>
    <row r="672" ht="14.25" customHeight="1">
      <c r="C672" s="67"/>
      <c r="H672" s="78"/>
      <c r="J672" s="67"/>
    </row>
    <row r="673" ht="14.25" customHeight="1">
      <c r="C673" s="67"/>
      <c r="H673" s="78"/>
      <c r="J673" s="67"/>
    </row>
    <row r="674" ht="14.25" customHeight="1">
      <c r="C674" s="67"/>
      <c r="H674" s="78"/>
      <c r="J674" s="67"/>
    </row>
    <row r="675" ht="14.25" customHeight="1">
      <c r="C675" s="67"/>
      <c r="H675" s="78"/>
      <c r="J675" s="67"/>
    </row>
    <row r="676" ht="14.25" customHeight="1">
      <c r="C676" s="67"/>
      <c r="H676" s="78"/>
      <c r="J676" s="67"/>
    </row>
    <row r="677" ht="14.25" customHeight="1">
      <c r="C677" s="67"/>
      <c r="H677" s="78"/>
      <c r="J677" s="67"/>
    </row>
    <row r="678" ht="14.25" customHeight="1">
      <c r="C678" s="67"/>
      <c r="H678" s="78"/>
      <c r="J678" s="67"/>
    </row>
    <row r="679" ht="14.25" customHeight="1">
      <c r="C679" s="67"/>
      <c r="H679" s="78"/>
      <c r="J679" s="67"/>
    </row>
    <row r="680" ht="14.25" customHeight="1">
      <c r="C680" s="67"/>
      <c r="H680" s="78"/>
      <c r="J680" s="67"/>
    </row>
    <row r="681" ht="14.25" customHeight="1">
      <c r="C681" s="67"/>
      <c r="H681" s="78"/>
      <c r="J681" s="67"/>
    </row>
    <row r="682" ht="14.25" customHeight="1">
      <c r="C682" s="67"/>
      <c r="H682" s="78"/>
      <c r="J682" s="67"/>
    </row>
    <row r="683" ht="14.25" customHeight="1">
      <c r="C683" s="67"/>
      <c r="H683" s="78"/>
      <c r="J683" s="67"/>
    </row>
    <row r="684" ht="14.25" customHeight="1">
      <c r="C684" s="67"/>
      <c r="H684" s="78"/>
      <c r="J684" s="67"/>
    </row>
    <row r="685" ht="14.25" customHeight="1">
      <c r="C685" s="67"/>
      <c r="H685" s="78"/>
      <c r="J685" s="67"/>
    </row>
    <row r="686" ht="14.25" customHeight="1">
      <c r="C686" s="67"/>
      <c r="H686" s="78"/>
      <c r="J686" s="67"/>
    </row>
    <row r="687" ht="14.25" customHeight="1">
      <c r="C687" s="67"/>
      <c r="H687" s="78"/>
      <c r="J687" s="67"/>
    </row>
    <row r="688" ht="14.25" customHeight="1">
      <c r="C688" s="67"/>
      <c r="H688" s="78"/>
      <c r="J688" s="67"/>
    </row>
    <row r="689" ht="14.25" customHeight="1">
      <c r="C689" s="67"/>
      <c r="H689" s="78"/>
      <c r="J689" s="67"/>
    </row>
    <row r="690" ht="14.25" customHeight="1">
      <c r="C690" s="67"/>
      <c r="H690" s="78"/>
      <c r="J690" s="67"/>
    </row>
    <row r="691" ht="14.25" customHeight="1">
      <c r="C691" s="67"/>
      <c r="H691" s="78"/>
      <c r="J691" s="67"/>
    </row>
    <row r="692" ht="14.25" customHeight="1">
      <c r="C692" s="67"/>
      <c r="H692" s="78"/>
      <c r="J692" s="67"/>
    </row>
    <row r="693" ht="14.25" customHeight="1">
      <c r="C693" s="67"/>
      <c r="H693" s="78"/>
      <c r="J693" s="67"/>
    </row>
    <row r="694" ht="14.25" customHeight="1">
      <c r="C694" s="67"/>
      <c r="H694" s="78"/>
      <c r="J694" s="67"/>
    </row>
    <row r="695" ht="14.25" customHeight="1">
      <c r="C695" s="67"/>
      <c r="H695" s="78"/>
      <c r="J695" s="67"/>
    </row>
    <row r="696" ht="14.25" customHeight="1">
      <c r="C696" s="67"/>
      <c r="H696" s="78"/>
      <c r="J696" s="67"/>
    </row>
    <row r="697" ht="14.25" customHeight="1">
      <c r="C697" s="67"/>
      <c r="H697" s="78"/>
      <c r="J697" s="67"/>
    </row>
    <row r="698" ht="14.25" customHeight="1">
      <c r="C698" s="67"/>
      <c r="H698" s="78"/>
      <c r="J698" s="67"/>
    </row>
    <row r="699" ht="14.25" customHeight="1">
      <c r="C699" s="67"/>
      <c r="H699" s="78"/>
      <c r="J699" s="67"/>
    </row>
    <row r="700" ht="14.25" customHeight="1">
      <c r="C700" s="67"/>
      <c r="H700" s="78"/>
      <c r="J700" s="67"/>
    </row>
    <row r="701" ht="14.25" customHeight="1">
      <c r="C701" s="67"/>
      <c r="H701" s="78"/>
      <c r="J701" s="67"/>
    </row>
    <row r="702" ht="14.25" customHeight="1">
      <c r="C702" s="67"/>
      <c r="H702" s="78"/>
      <c r="J702" s="67"/>
    </row>
    <row r="703" ht="14.25" customHeight="1">
      <c r="C703" s="67"/>
      <c r="H703" s="78"/>
      <c r="J703" s="67"/>
    </row>
    <row r="704" ht="14.25" customHeight="1">
      <c r="C704" s="67"/>
      <c r="H704" s="78"/>
      <c r="J704" s="67"/>
    </row>
    <row r="705" ht="14.25" customHeight="1">
      <c r="C705" s="67"/>
      <c r="H705" s="78"/>
      <c r="J705" s="67"/>
    </row>
    <row r="706" ht="14.25" customHeight="1">
      <c r="C706" s="67"/>
      <c r="H706" s="78"/>
      <c r="J706" s="67"/>
    </row>
    <row r="707" ht="14.25" customHeight="1">
      <c r="C707" s="67"/>
      <c r="H707" s="78"/>
      <c r="J707" s="67"/>
    </row>
    <row r="708" ht="14.25" customHeight="1">
      <c r="C708" s="67"/>
      <c r="H708" s="78"/>
      <c r="J708" s="67"/>
    </row>
    <row r="709" ht="14.25" customHeight="1">
      <c r="C709" s="67"/>
      <c r="H709" s="78"/>
      <c r="J709" s="67"/>
    </row>
    <row r="710" ht="14.25" customHeight="1">
      <c r="C710" s="67"/>
      <c r="H710" s="78"/>
      <c r="J710" s="67"/>
    </row>
    <row r="711" ht="14.25" customHeight="1">
      <c r="C711" s="67"/>
      <c r="H711" s="78"/>
      <c r="J711" s="67"/>
    </row>
    <row r="712" ht="14.25" customHeight="1">
      <c r="C712" s="67"/>
      <c r="H712" s="78"/>
      <c r="J712" s="67"/>
    </row>
    <row r="713" ht="14.25" customHeight="1">
      <c r="C713" s="67"/>
      <c r="H713" s="78"/>
      <c r="J713" s="67"/>
    </row>
    <row r="714" ht="14.25" customHeight="1">
      <c r="C714" s="67"/>
      <c r="H714" s="78"/>
      <c r="J714" s="67"/>
    </row>
    <row r="715" ht="14.25" customHeight="1">
      <c r="C715" s="67"/>
      <c r="H715" s="78"/>
      <c r="J715" s="67"/>
    </row>
    <row r="716" ht="14.25" customHeight="1">
      <c r="C716" s="67"/>
      <c r="H716" s="78"/>
      <c r="J716" s="67"/>
    </row>
    <row r="717" ht="14.25" customHeight="1">
      <c r="C717" s="67"/>
      <c r="H717" s="78"/>
      <c r="J717" s="67"/>
    </row>
    <row r="718" ht="14.25" customHeight="1">
      <c r="C718" s="67"/>
      <c r="H718" s="78"/>
      <c r="J718" s="67"/>
    </row>
    <row r="719" ht="14.25" customHeight="1">
      <c r="C719" s="67"/>
      <c r="H719" s="78"/>
      <c r="J719" s="67"/>
    </row>
    <row r="720" ht="14.25" customHeight="1">
      <c r="C720" s="67"/>
      <c r="H720" s="78"/>
      <c r="J720" s="67"/>
    </row>
    <row r="721" ht="14.25" customHeight="1">
      <c r="C721" s="67"/>
      <c r="H721" s="78"/>
      <c r="J721" s="67"/>
    </row>
    <row r="722" ht="14.25" customHeight="1">
      <c r="C722" s="67"/>
      <c r="H722" s="78"/>
      <c r="J722" s="67"/>
    </row>
    <row r="723" ht="14.25" customHeight="1">
      <c r="C723" s="67"/>
      <c r="H723" s="78"/>
      <c r="J723" s="67"/>
    </row>
    <row r="724" ht="14.25" customHeight="1">
      <c r="C724" s="67"/>
      <c r="H724" s="78"/>
      <c r="J724" s="67"/>
    </row>
    <row r="725" ht="14.25" customHeight="1">
      <c r="C725" s="67"/>
      <c r="H725" s="78"/>
      <c r="J725" s="67"/>
    </row>
    <row r="726" ht="14.25" customHeight="1">
      <c r="C726" s="67"/>
      <c r="H726" s="78"/>
      <c r="J726" s="67"/>
    </row>
    <row r="727" ht="14.25" customHeight="1">
      <c r="C727" s="67"/>
      <c r="H727" s="78"/>
      <c r="J727" s="67"/>
    </row>
    <row r="728" ht="14.25" customHeight="1">
      <c r="C728" s="67"/>
      <c r="H728" s="78"/>
      <c r="J728" s="67"/>
    </row>
    <row r="729" ht="14.25" customHeight="1">
      <c r="C729" s="67"/>
      <c r="H729" s="78"/>
      <c r="J729" s="67"/>
    </row>
    <row r="730" ht="14.25" customHeight="1">
      <c r="C730" s="67"/>
      <c r="H730" s="78"/>
      <c r="J730" s="67"/>
    </row>
    <row r="731" ht="14.25" customHeight="1">
      <c r="C731" s="67"/>
      <c r="H731" s="78"/>
      <c r="J731" s="67"/>
    </row>
    <row r="732" ht="14.25" customHeight="1">
      <c r="C732" s="67"/>
      <c r="H732" s="78"/>
      <c r="J732" s="67"/>
    </row>
    <row r="733" ht="14.25" customHeight="1">
      <c r="C733" s="67"/>
      <c r="H733" s="78"/>
      <c r="J733" s="67"/>
    </row>
    <row r="734" ht="14.25" customHeight="1">
      <c r="C734" s="67"/>
      <c r="H734" s="78"/>
      <c r="J734" s="67"/>
    </row>
    <row r="735" ht="14.25" customHeight="1">
      <c r="C735" s="67"/>
      <c r="H735" s="78"/>
      <c r="J735" s="67"/>
    </row>
    <row r="736" ht="14.25" customHeight="1">
      <c r="C736" s="67"/>
      <c r="H736" s="78"/>
      <c r="J736" s="67"/>
    </row>
    <row r="737" ht="14.25" customHeight="1">
      <c r="C737" s="67"/>
      <c r="H737" s="78"/>
      <c r="J737" s="67"/>
    </row>
    <row r="738" ht="14.25" customHeight="1">
      <c r="C738" s="67"/>
      <c r="H738" s="78"/>
      <c r="J738" s="67"/>
    </row>
    <row r="739" ht="14.25" customHeight="1">
      <c r="C739" s="67"/>
      <c r="H739" s="78"/>
      <c r="J739" s="67"/>
    </row>
    <row r="740" ht="14.25" customHeight="1">
      <c r="C740" s="67"/>
      <c r="H740" s="78"/>
      <c r="J740" s="67"/>
    </row>
    <row r="741" ht="14.25" customHeight="1">
      <c r="C741" s="67"/>
      <c r="H741" s="78"/>
      <c r="J741" s="67"/>
    </row>
    <row r="742" ht="14.25" customHeight="1">
      <c r="C742" s="67"/>
      <c r="H742" s="78"/>
      <c r="J742" s="67"/>
    </row>
    <row r="743" ht="14.25" customHeight="1">
      <c r="C743" s="67"/>
      <c r="H743" s="78"/>
      <c r="J743" s="67"/>
    </row>
    <row r="744" ht="14.25" customHeight="1">
      <c r="C744" s="67"/>
      <c r="H744" s="78"/>
      <c r="J744" s="67"/>
    </row>
    <row r="745" ht="14.25" customHeight="1">
      <c r="C745" s="67"/>
      <c r="H745" s="78"/>
      <c r="J745" s="67"/>
    </row>
    <row r="746" ht="14.25" customHeight="1">
      <c r="C746" s="67"/>
      <c r="H746" s="78"/>
      <c r="J746" s="67"/>
    </row>
    <row r="747" ht="14.25" customHeight="1">
      <c r="C747" s="67"/>
      <c r="H747" s="78"/>
      <c r="J747" s="67"/>
    </row>
    <row r="748" ht="14.25" customHeight="1">
      <c r="C748" s="67"/>
      <c r="H748" s="78"/>
      <c r="J748" s="67"/>
    </row>
    <row r="749" ht="14.25" customHeight="1">
      <c r="C749" s="67"/>
      <c r="H749" s="78"/>
      <c r="J749" s="67"/>
    </row>
    <row r="750" ht="14.25" customHeight="1">
      <c r="C750" s="67"/>
      <c r="H750" s="78"/>
      <c r="J750" s="67"/>
    </row>
    <row r="751" ht="14.25" customHeight="1">
      <c r="C751" s="67"/>
      <c r="H751" s="78"/>
      <c r="J751" s="67"/>
    </row>
    <row r="752" ht="14.25" customHeight="1">
      <c r="C752" s="67"/>
      <c r="H752" s="78"/>
      <c r="J752" s="67"/>
    </row>
    <row r="753" ht="14.25" customHeight="1">
      <c r="C753" s="67"/>
      <c r="H753" s="78"/>
      <c r="J753" s="67"/>
    </row>
    <row r="754" ht="14.25" customHeight="1">
      <c r="C754" s="67"/>
      <c r="H754" s="78"/>
      <c r="J754" s="67"/>
    </row>
    <row r="755" ht="14.25" customHeight="1">
      <c r="C755" s="67"/>
      <c r="H755" s="78"/>
      <c r="J755" s="67"/>
    </row>
    <row r="756" ht="14.25" customHeight="1">
      <c r="C756" s="67"/>
      <c r="H756" s="78"/>
      <c r="J756" s="67"/>
    </row>
    <row r="757" ht="14.25" customHeight="1">
      <c r="C757" s="67"/>
      <c r="H757" s="78"/>
      <c r="J757" s="67"/>
    </row>
    <row r="758" ht="14.25" customHeight="1">
      <c r="C758" s="67"/>
      <c r="H758" s="78"/>
      <c r="J758" s="67"/>
    </row>
    <row r="759" ht="14.25" customHeight="1">
      <c r="C759" s="67"/>
      <c r="H759" s="78"/>
      <c r="J759" s="67"/>
    </row>
    <row r="760" ht="14.25" customHeight="1">
      <c r="C760" s="67"/>
      <c r="H760" s="78"/>
      <c r="J760" s="67"/>
    </row>
    <row r="761" ht="14.25" customHeight="1">
      <c r="C761" s="67"/>
      <c r="H761" s="78"/>
      <c r="J761" s="67"/>
    </row>
    <row r="762" ht="14.25" customHeight="1">
      <c r="C762" s="67"/>
      <c r="H762" s="78"/>
      <c r="J762" s="67"/>
    </row>
    <row r="763" ht="14.25" customHeight="1">
      <c r="C763" s="67"/>
      <c r="H763" s="78"/>
      <c r="J763" s="67"/>
    </row>
    <row r="764" ht="14.25" customHeight="1">
      <c r="C764" s="67"/>
      <c r="H764" s="78"/>
      <c r="J764" s="67"/>
    </row>
    <row r="765" ht="14.25" customHeight="1">
      <c r="C765" s="67"/>
      <c r="H765" s="78"/>
      <c r="J765" s="67"/>
    </row>
    <row r="766" ht="14.25" customHeight="1">
      <c r="C766" s="67"/>
      <c r="H766" s="78"/>
      <c r="J766" s="67"/>
    </row>
    <row r="767" ht="14.25" customHeight="1">
      <c r="C767" s="67"/>
      <c r="H767" s="78"/>
      <c r="J767" s="67"/>
    </row>
    <row r="768" ht="14.25" customHeight="1">
      <c r="C768" s="67"/>
      <c r="H768" s="78"/>
      <c r="J768" s="67"/>
    </row>
    <row r="769" ht="14.25" customHeight="1">
      <c r="C769" s="67"/>
      <c r="H769" s="78"/>
      <c r="J769" s="67"/>
    </row>
    <row r="770" ht="14.25" customHeight="1">
      <c r="C770" s="67"/>
      <c r="H770" s="78"/>
      <c r="J770" s="67"/>
    </row>
    <row r="771" ht="14.25" customHeight="1">
      <c r="C771" s="67"/>
      <c r="H771" s="78"/>
      <c r="J771" s="67"/>
    </row>
    <row r="772" ht="14.25" customHeight="1">
      <c r="C772" s="67"/>
      <c r="H772" s="78"/>
      <c r="J772" s="67"/>
    </row>
    <row r="773" ht="14.25" customHeight="1">
      <c r="C773" s="67"/>
      <c r="H773" s="78"/>
      <c r="J773" s="67"/>
    </row>
    <row r="774" ht="14.25" customHeight="1">
      <c r="C774" s="67"/>
      <c r="H774" s="78"/>
      <c r="J774" s="67"/>
    </row>
    <row r="775" ht="14.25" customHeight="1">
      <c r="C775" s="67"/>
      <c r="H775" s="78"/>
      <c r="J775" s="67"/>
    </row>
    <row r="776" ht="14.25" customHeight="1">
      <c r="C776" s="67"/>
      <c r="H776" s="78"/>
      <c r="J776" s="67"/>
    </row>
    <row r="777" ht="14.25" customHeight="1">
      <c r="C777" s="67"/>
      <c r="H777" s="78"/>
      <c r="J777" s="67"/>
    </row>
    <row r="778" ht="14.25" customHeight="1">
      <c r="C778" s="67"/>
      <c r="H778" s="78"/>
      <c r="J778" s="67"/>
    </row>
    <row r="779" ht="14.25" customHeight="1">
      <c r="C779" s="67"/>
      <c r="H779" s="78"/>
      <c r="J779" s="67"/>
    </row>
    <row r="780" ht="14.25" customHeight="1">
      <c r="C780" s="67"/>
      <c r="H780" s="78"/>
      <c r="J780" s="67"/>
    </row>
    <row r="781" ht="14.25" customHeight="1">
      <c r="C781" s="67"/>
      <c r="H781" s="78"/>
      <c r="J781" s="67"/>
    </row>
    <row r="782" ht="14.25" customHeight="1">
      <c r="C782" s="67"/>
      <c r="H782" s="78"/>
      <c r="J782" s="67"/>
    </row>
    <row r="783" ht="14.25" customHeight="1">
      <c r="C783" s="67"/>
      <c r="H783" s="78"/>
      <c r="J783" s="67"/>
    </row>
    <row r="784" ht="14.25" customHeight="1">
      <c r="C784" s="67"/>
      <c r="H784" s="78"/>
      <c r="J784" s="67"/>
    </row>
    <row r="785" ht="14.25" customHeight="1">
      <c r="C785" s="67"/>
      <c r="H785" s="78"/>
      <c r="J785" s="67"/>
    </row>
    <row r="786" ht="14.25" customHeight="1">
      <c r="C786" s="67"/>
      <c r="H786" s="78"/>
      <c r="J786" s="67"/>
    </row>
    <row r="787" ht="14.25" customHeight="1">
      <c r="C787" s="67"/>
      <c r="H787" s="78"/>
      <c r="J787" s="67"/>
    </row>
    <row r="788" ht="14.25" customHeight="1">
      <c r="C788" s="67"/>
      <c r="H788" s="78"/>
      <c r="J788" s="67"/>
    </row>
    <row r="789" ht="14.25" customHeight="1">
      <c r="C789" s="67"/>
      <c r="H789" s="78"/>
      <c r="J789" s="67"/>
    </row>
    <row r="790" ht="14.25" customHeight="1">
      <c r="C790" s="67"/>
      <c r="H790" s="78"/>
      <c r="J790" s="67"/>
    </row>
    <row r="791" ht="14.25" customHeight="1">
      <c r="C791" s="67"/>
      <c r="H791" s="78"/>
      <c r="J791" s="67"/>
    </row>
    <row r="792" ht="14.25" customHeight="1">
      <c r="C792" s="67"/>
      <c r="H792" s="78"/>
      <c r="J792" s="67"/>
    </row>
    <row r="793" ht="14.25" customHeight="1">
      <c r="C793" s="67"/>
      <c r="H793" s="78"/>
      <c r="J793" s="67"/>
    </row>
    <row r="794" ht="14.25" customHeight="1">
      <c r="C794" s="67"/>
      <c r="H794" s="78"/>
      <c r="J794" s="67"/>
    </row>
    <row r="795" ht="14.25" customHeight="1">
      <c r="C795" s="67"/>
      <c r="H795" s="78"/>
      <c r="J795" s="67"/>
    </row>
    <row r="796" ht="14.25" customHeight="1">
      <c r="C796" s="67"/>
      <c r="H796" s="78"/>
      <c r="J796" s="67"/>
    </row>
    <row r="797" ht="14.25" customHeight="1">
      <c r="C797" s="67"/>
      <c r="H797" s="78"/>
      <c r="J797" s="67"/>
    </row>
    <row r="798" ht="14.25" customHeight="1">
      <c r="C798" s="67"/>
      <c r="H798" s="78"/>
      <c r="J798" s="67"/>
    </row>
    <row r="799" ht="14.25" customHeight="1">
      <c r="C799" s="67"/>
      <c r="H799" s="78"/>
      <c r="J799" s="67"/>
    </row>
    <row r="800" ht="14.25" customHeight="1">
      <c r="C800" s="67"/>
      <c r="H800" s="78"/>
      <c r="J800" s="67"/>
    </row>
    <row r="801" ht="14.25" customHeight="1">
      <c r="C801" s="67"/>
      <c r="H801" s="78"/>
      <c r="J801" s="67"/>
    </row>
    <row r="802" ht="14.25" customHeight="1">
      <c r="C802" s="67"/>
      <c r="H802" s="78"/>
      <c r="J802" s="67"/>
    </row>
    <row r="803" ht="14.25" customHeight="1">
      <c r="C803" s="67"/>
      <c r="H803" s="78"/>
      <c r="J803" s="67"/>
    </row>
    <row r="804" ht="14.25" customHeight="1">
      <c r="C804" s="67"/>
      <c r="H804" s="78"/>
      <c r="J804" s="67"/>
    </row>
    <row r="805" ht="14.25" customHeight="1">
      <c r="C805" s="67"/>
      <c r="H805" s="78"/>
      <c r="J805" s="67"/>
    </row>
    <row r="806" ht="14.25" customHeight="1">
      <c r="C806" s="67"/>
      <c r="H806" s="78"/>
      <c r="J806" s="67"/>
    </row>
    <row r="807" ht="14.25" customHeight="1">
      <c r="C807" s="67"/>
      <c r="H807" s="78"/>
      <c r="J807" s="67"/>
    </row>
    <row r="808" ht="14.25" customHeight="1">
      <c r="C808" s="67"/>
      <c r="H808" s="78"/>
      <c r="J808" s="67"/>
    </row>
    <row r="809" ht="14.25" customHeight="1">
      <c r="C809" s="67"/>
      <c r="H809" s="78"/>
      <c r="J809" s="67"/>
    </row>
    <row r="810" ht="14.25" customHeight="1">
      <c r="C810" s="67"/>
      <c r="H810" s="78"/>
      <c r="J810" s="67"/>
    </row>
    <row r="811" ht="14.25" customHeight="1">
      <c r="C811" s="67"/>
      <c r="H811" s="78"/>
      <c r="J811" s="67"/>
    </row>
    <row r="812" ht="14.25" customHeight="1">
      <c r="C812" s="67"/>
      <c r="H812" s="78"/>
      <c r="J812" s="67"/>
    </row>
    <row r="813" ht="14.25" customHeight="1">
      <c r="C813" s="67"/>
      <c r="H813" s="78"/>
      <c r="J813" s="67"/>
    </row>
    <row r="814" ht="14.25" customHeight="1">
      <c r="C814" s="67"/>
      <c r="H814" s="78"/>
      <c r="J814" s="67"/>
    </row>
    <row r="815" ht="14.25" customHeight="1">
      <c r="C815" s="67"/>
      <c r="H815" s="78"/>
      <c r="J815" s="67"/>
    </row>
    <row r="816" ht="14.25" customHeight="1">
      <c r="C816" s="67"/>
      <c r="H816" s="78"/>
      <c r="J816" s="67"/>
    </row>
    <row r="817" ht="14.25" customHeight="1">
      <c r="C817" s="67"/>
      <c r="H817" s="78"/>
      <c r="J817" s="67"/>
    </row>
    <row r="818" ht="14.25" customHeight="1">
      <c r="C818" s="67"/>
      <c r="H818" s="78"/>
      <c r="J818" s="67"/>
    </row>
    <row r="819" ht="14.25" customHeight="1">
      <c r="C819" s="67"/>
      <c r="H819" s="78"/>
      <c r="J819" s="67"/>
    </row>
    <row r="820" ht="14.25" customHeight="1">
      <c r="C820" s="67"/>
      <c r="H820" s="78"/>
      <c r="J820" s="67"/>
    </row>
    <row r="821" ht="14.25" customHeight="1">
      <c r="C821" s="67"/>
      <c r="H821" s="78"/>
      <c r="J821" s="67"/>
    </row>
    <row r="822" ht="14.25" customHeight="1">
      <c r="C822" s="67"/>
      <c r="H822" s="78"/>
      <c r="J822" s="67"/>
    </row>
    <row r="823" ht="14.25" customHeight="1">
      <c r="C823" s="67"/>
      <c r="H823" s="78"/>
      <c r="J823" s="67"/>
    </row>
    <row r="824" ht="14.25" customHeight="1">
      <c r="C824" s="67"/>
      <c r="H824" s="78"/>
      <c r="J824" s="67"/>
    </row>
    <row r="825" ht="14.25" customHeight="1">
      <c r="C825" s="67"/>
      <c r="H825" s="78"/>
      <c r="J825" s="67"/>
    </row>
    <row r="826" ht="14.25" customHeight="1">
      <c r="C826" s="67"/>
      <c r="H826" s="78"/>
      <c r="J826" s="67"/>
    </row>
    <row r="827" ht="14.25" customHeight="1">
      <c r="C827" s="67"/>
      <c r="H827" s="78"/>
      <c r="J827" s="67"/>
    </row>
    <row r="828" ht="14.25" customHeight="1">
      <c r="C828" s="67"/>
      <c r="H828" s="78"/>
      <c r="J828" s="67"/>
    </row>
    <row r="829" ht="14.25" customHeight="1">
      <c r="C829" s="67"/>
      <c r="H829" s="78"/>
      <c r="J829" s="67"/>
    </row>
    <row r="830" ht="14.25" customHeight="1">
      <c r="C830" s="67"/>
      <c r="H830" s="78"/>
      <c r="J830" s="67"/>
    </row>
    <row r="831" ht="14.25" customHeight="1">
      <c r="C831" s="67"/>
      <c r="H831" s="78"/>
      <c r="J831" s="67"/>
    </row>
    <row r="832" ht="14.25" customHeight="1">
      <c r="C832" s="67"/>
      <c r="H832" s="78"/>
      <c r="J832" s="67"/>
    </row>
    <row r="833" ht="14.25" customHeight="1">
      <c r="C833" s="67"/>
      <c r="H833" s="78"/>
      <c r="J833" s="67"/>
    </row>
    <row r="834" ht="14.25" customHeight="1">
      <c r="C834" s="67"/>
      <c r="H834" s="78"/>
      <c r="J834" s="67"/>
    </row>
    <row r="835" ht="14.25" customHeight="1">
      <c r="C835" s="67"/>
      <c r="H835" s="78"/>
      <c r="J835" s="67"/>
    </row>
    <row r="836" ht="14.25" customHeight="1">
      <c r="C836" s="67"/>
      <c r="H836" s="78"/>
      <c r="J836" s="67"/>
    </row>
    <row r="837" ht="14.25" customHeight="1">
      <c r="C837" s="67"/>
      <c r="H837" s="78"/>
      <c r="J837" s="67"/>
    </row>
    <row r="838" ht="14.25" customHeight="1">
      <c r="C838" s="67"/>
      <c r="H838" s="78"/>
      <c r="J838" s="67"/>
    </row>
    <row r="839" ht="14.25" customHeight="1">
      <c r="C839" s="67"/>
      <c r="H839" s="78"/>
      <c r="J839" s="67"/>
    </row>
    <row r="840" ht="14.25" customHeight="1">
      <c r="C840" s="67"/>
      <c r="H840" s="78"/>
      <c r="J840" s="67"/>
    </row>
    <row r="841" ht="14.25" customHeight="1">
      <c r="C841" s="67"/>
      <c r="H841" s="78"/>
      <c r="J841" s="67"/>
    </row>
    <row r="842" ht="14.25" customHeight="1">
      <c r="C842" s="67"/>
      <c r="H842" s="78"/>
      <c r="J842" s="67"/>
    </row>
    <row r="843" ht="14.25" customHeight="1">
      <c r="C843" s="67"/>
      <c r="H843" s="78"/>
      <c r="J843" s="67"/>
    </row>
    <row r="844" ht="14.25" customHeight="1">
      <c r="C844" s="67"/>
      <c r="H844" s="78"/>
      <c r="J844" s="67"/>
    </row>
    <row r="845" ht="14.25" customHeight="1">
      <c r="C845" s="67"/>
      <c r="H845" s="78"/>
      <c r="J845" s="67"/>
    </row>
    <row r="846" ht="14.25" customHeight="1">
      <c r="C846" s="67"/>
      <c r="H846" s="78"/>
      <c r="J846" s="67"/>
    </row>
    <row r="847" ht="14.25" customHeight="1">
      <c r="C847" s="67"/>
      <c r="H847" s="78"/>
      <c r="J847" s="67"/>
    </row>
    <row r="848" ht="14.25" customHeight="1">
      <c r="C848" s="67"/>
      <c r="H848" s="78"/>
      <c r="J848" s="67"/>
    </row>
    <row r="849" ht="14.25" customHeight="1">
      <c r="C849" s="67"/>
      <c r="H849" s="78"/>
      <c r="J849" s="67"/>
    </row>
    <row r="850" ht="14.25" customHeight="1">
      <c r="C850" s="67"/>
      <c r="H850" s="78"/>
      <c r="J850" s="67"/>
    </row>
    <row r="851" ht="14.25" customHeight="1">
      <c r="C851" s="67"/>
      <c r="H851" s="78"/>
      <c r="J851" s="67"/>
    </row>
    <row r="852" ht="14.25" customHeight="1">
      <c r="C852" s="67"/>
      <c r="H852" s="78"/>
      <c r="J852" s="67"/>
    </row>
    <row r="853" ht="14.25" customHeight="1">
      <c r="C853" s="67"/>
      <c r="H853" s="78"/>
      <c r="J853" s="67"/>
    </row>
    <row r="854" ht="14.25" customHeight="1">
      <c r="C854" s="67"/>
      <c r="H854" s="78"/>
      <c r="J854" s="67"/>
    </row>
    <row r="855" ht="14.25" customHeight="1">
      <c r="C855" s="67"/>
      <c r="H855" s="78"/>
      <c r="J855" s="67"/>
    </row>
    <row r="856" ht="14.25" customHeight="1">
      <c r="C856" s="67"/>
      <c r="H856" s="78"/>
      <c r="J856" s="67"/>
    </row>
    <row r="857" ht="14.25" customHeight="1">
      <c r="C857" s="67"/>
      <c r="H857" s="78"/>
      <c r="J857" s="67"/>
    </row>
    <row r="858" ht="14.25" customHeight="1">
      <c r="C858" s="67"/>
      <c r="H858" s="78"/>
      <c r="J858" s="67"/>
    </row>
    <row r="859" ht="14.25" customHeight="1">
      <c r="C859" s="67"/>
      <c r="H859" s="78"/>
      <c r="J859" s="67"/>
    </row>
    <row r="860" ht="14.25" customHeight="1">
      <c r="C860" s="67"/>
      <c r="H860" s="78"/>
      <c r="J860" s="67"/>
    </row>
    <row r="861" ht="14.25" customHeight="1">
      <c r="C861" s="67"/>
      <c r="H861" s="78"/>
      <c r="J861" s="67"/>
    </row>
    <row r="862" ht="14.25" customHeight="1">
      <c r="C862" s="67"/>
      <c r="H862" s="78"/>
      <c r="J862" s="67"/>
    </row>
    <row r="863" ht="14.25" customHeight="1">
      <c r="C863" s="67"/>
      <c r="H863" s="78"/>
      <c r="J863" s="67"/>
    </row>
    <row r="864" ht="14.25" customHeight="1">
      <c r="C864" s="67"/>
      <c r="H864" s="78"/>
      <c r="J864" s="67"/>
    </row>
    <row r="865" ht="14.25" customHeight="1">
      <c r="C865" s="67"/>
      <c r="H865" s="78"/>
      <c r="J865" s="67"/>
    </row>
    <row r="866" ht="14.25" customHeight="1">
      <c r="C866" s="67"/>
      <c r="H866" s="78"/>
      <c r="J866" s="67"/>
    </row>
    <row r="867" ht="14.25" customHeight="1">
      <c r="C867" s="67"/>
      <c r="H867" s="78"/>
      <c r="J867" s="67"/>
    </row>
    <row r="868" ht="14.25" customHeight="1">
      <c r="C868" s="67"/>
      <c r="H868" s="78"/>
      <c r="J868" s="67"/>
    </row>
    <row r="869" ht="14.25" customHeight="1">
      <c r="C869" s="67"/>
      <c r="H869" s="78"/>
      <c r="J869" s="67"/>
    </row>
    <row r="870" ht="14.25" customHeight="1">
      <c r="C870" s="67"/>
      <c r="H870" s="78"/>
      <c r="J870" s="67"/>
    </row>
    <row r="871" ht="14.25" customHeight="1">
      <c r="C871" s="67"/>
      <c r="H871" s="78"/>
      <c r="J871" s="67"/>
    </row>
    <row r="872" ht="14.25" customHeight="1">
      <c r="C872" s="67"/>
      <c r="H872" s="78"/>
      <c r="J872" s="67"/>
    </row>
    <row r="873" ht="14.25" customHeight="1">
      <c r="C873" s="67"/>
      <c r="H873" s="78"/>
      <c r="J873" s="67"/>
    </row>
    <row r="874" ht="14.25" customHeight="1">
      <c r="C874" s="67"/>
      <c r="H874" s="78"/>
      <c r="J874" s="67"/>
    </row>
    <row r="875" ht="14.25" customHeight="1">
      <c r="C875" s="67"/>
      <c r="H875" s="78"/>
      <c r="J875" s="67"/>
    </row>
    <row r="876" ht="14.25" customHeight="1">
      <c r="C876" s="67"/>
      <c r="H876" s="78"/>
      <c r="J876" s="67"/>
    </row>
    <row r="877" ht="14.25" customHeight="1">
      <c r="C877" s="67"/>
      <c r="H877" s="78"/>
      <c r="J877" s="67"/>
    </row>
    <row r="878" ht="14.25" customHeight="1">
      <c r="C878" s="67"/>
      <c r="H878" s="78"/>
      <c r="J878" s="67"/>
    </row>
    <row r="879" ht="14.25" customHeight="1">
      <c r="C879" s="67"/>
      <c r="H879" s="78"/>
      <c r="J879" s="67"/>
    </row>
    <row r="880" ht="14.25" customHeight="1">
      <c r="C880" s="67"/>
      <c r="H880" s="78"/>
      <c r="J880" s="67"/>
    </row>
    <row r="881" ht="14.25" customHeight="1">
      <c r="C881" s="67"/>
      <c r="H881" s="78"/>
      <c r="J881" s="67"/>
    </row>
    <row r="882" ht="14.25" customHeight="1">
      <c r="C882" s="67"/>
      <c r="H882" s="78"/>
      <c r="J882" s="67"/>
    </row>
    <row r="883" ht="14.25" customHeight="1">
      <c r="C883" s="67"/>
      <c r="H883" s="78"/>
      <c r="J883" s="67"/>
    </row>
    <row r="884" ht="14.25" customHeight="1">
      <c r="C884" s="67"/>
      <c r="H884" s="78"/>
      <c r="J884" s="67"/>
    </row>
    <row r="885" ht="14.25" customHeight="1">
      <c r="C885" s="67"/>
      <c r="H885" s="78"/>
      <c r="J885" s="67"/>
    </row>
    <row r="886" ht="14.25" customHeight="1">
      <c r="C886" s="67"/>
      <c r="H886" s="78"/>
      <c r="J886" s="67"/>
    </row>
    <row r="887" ht="14.25" customHeight="1">
      <c r="C887" s="67"/>
      <c r="H887" s="78"/>
      <c r="J887" s="67"/>
    </row>
    <row r="888" ht="14.25" customHeight="1">
      <c r="C888" s="67"/>
      <c r="H888" s="78"/>
      <c r="J888" s="67"/>
    </row>
    <row r="889" ht="14.25" customHeight="1">
      <c r="C889" s="67"/>
      <c r="H889" s="78"/>
      <c r="J889" s="67"/>
    </row>
    <row r="890" ht="14.25" customHeight="1">
      <c r="C890" s="67"/>
      <c r="H890" s="78"/>
      <c r="J890" s="67"/>
    </row>
    <row r="891" ht="14.25" customHeight="1">
      <c r="C891" s="67"/>
      <c r="H891" s="78"/>
      <c r="J891" s="67"/>
    </row>
    <row r="892" ht="14.25" customHeight="1">
      <c r="C892" s="67"/>
      <c r="H892" s="78"/>
      <c r="J892" s="67"/>
    </row>
    <row r="893" ht="14.25" customHeight="1">
      <c r="C893" s="67"/>
      <c r="H893" s="78"/>
      <c r="J893" s="67"/>
    </row>
    <row r="894" ht="14.25" customHeight="1">
      <c r="C894" s="67"/>
      <c r="H894" s="78"/>
      <c r="J894" s="67"/>
    </row>
    <row r="895" ht="14.25" customHeight="1">
      <c r="C895" s="67"/>
      <c r="H895" s="78"/>
      <c r="J895" s="67"/>
    </row>
    <row r="896" ht="14.25" customHeight="1">
      <c r="C896" s="67"/>
      <c r="H896" s="78"/>
      <c r="J896" s="67"/>
    </row>
    <row r="897" ht="14.25" customHeight="1">
      <c r="C897" s="67"/>
      <c r="H897" s="78"/>
      <c r="J897" s="67"/>
    </row>
    <row r="898" ht="14.25" customHeight="1">
      <c r="C898" s="67"/>
      <c r="H898" s="78"/>
      <c r="J898" s="67"/>
    </row>
    <row r="899" ht="14.25" customHeight="1">
      <c r="C899" s="67"/>
      <c r="H899" s="78"/>
      <c r="J899" s="67"/>
    </row>
    <row r="900" ht="14.25" customHeight="1">
      <c r="C900" s="67"/>
      <c r="H900" s="78"/>
      <c r="J900" s="67"/>
    </row>
    <row r="901" ht="14.25" customHeight="1">
      <c r="C901" s="67"/>
      <c r="H901" s="78"/>
      <c r="J901" s="67"/>
    </row>
    <row r="902" ht="14.25" customHeight="1">
      <c r="C902" s="67"/>
      <c r="H902" s="78"/>
      <c r="J902" s="67"/>
    </row>
    <row r="903" ht="14.25" customHeight="1">
      <c r="C903" s="67"/>
      <c r="H903" s="78"/>
      <c r="J903" s="67"/>
    </row>
    <row r="904" ht="14.25" customHeight="1">
      <c r="C904" s="67"/>
      <c r="H904" s="78"/>
      <c r="J904" s="67"/>
    </row>
    <row r="905" ht="14.25" customHeight="1">
      <c r="C905" s="67"/>
      <c r="H905" s="78"/>
      <c r="J905" s="67"/>
    </row>
    <row r="906" ht="14.25" customHeight="1">
      <c r="C906" s="67"/>
      <c r="H906" s="78"/>
      <c r="J906" s="67"/>
    </row>
    <row r="907" ht="14.25" customHeight="1">
      <c r="C907" s="67"/>
      <c r="H907" s="78"/>
      <c r="J907" s="67"/>
    </row>
    <row r="908" ht="14.25" customHeight="1">
      <c r="C908" s="67"/>
      <c r="H908" s="78"/>
      <c r="J908" s="67"/>
    </row>
    <row r="909" ht="14.25" customHeight="1">
      <c r="C909" s="67"/>
      <c r="H909" s="78"/>
      <c r="J909" s="67"/>
    </row>
    <row r="910" ht="14.25" customHeight="1">
      <c r="C910" s="67"/>
      <c r="H910" s="78"/>
      <c r="J910" s="67"/>
    </row>
    <row r="911" ht="14.25" customHeight="1">
      <c r="C911" s="67"/>
      <c r="H911" s="78"/>
      <c r="J911" s="67"/>
    </row>
    <row r="912" ht="14.25" customHeight="1">
      <c r="C912" s="67"/>
      <c r="H912" s="78"/>
      <c r="J912" s="67"/>
    </row>
    <row r="913" ht="14.25" customHeight="1">
      <c r="C913" s="67"/>
      <c r="H913" s="78"/>
      <c r="J913" s="67"/>
    </row>
    <row r="914" ht="14.25" customHeight="1">
      <c r="C914" s="67"/>
      <c r="H914" s="78"/>
      <c r="J914" s="67"/>
    </row>
    <row r="915" ht="14.25" customHeight="1">
      <c r="C915" s="67"/>
      <c r="H915" s="78"/>
      <c r="J915" s="67"/>
    </row>
    <row r="916" ht="14.25" customHeight="1">
      <c r="C916" s="67"/>
      <c r="H916" s="78"/>
      <c r="J916" s="67"/>
    </row>
    <row r="917" ht="14.25" customHeight="1">
      <c r="C917" s="67"/>
      <c r="H917" s="78"/>
      <c r="J917" s="67"/>
    </row>
    <row r="918" ht="14.25" customHeight="1">
      <c r="C918" s="67"/>
      <c r="H918" s="78"/>
      <c r="J918" s="67"/>
    </row>
    <row r="919" ht="14.25" customHeight="1">
      <c r="C919" s="67"/>
      <c r="H919" s="78"/>
      <c r="J919" s="67"/>
    </row>
    <row r="920" ht="14.25" customHeight="1">
      <c r="C920" s="67"/>
      <c r="H920" s="78"/>
      <c r="J920" s="67"/>
    </row>
    <row r="921" ht="14.25" customHeight="1">
      <c r="C921" s="67"/>
      <c r="H921" s="78"/>
      <c r="J921" s="67"/>
    </row>
    <row r="922" ht="14.25" customHeight="1">
      <c r="C922" s="67"/>
      <c r="H922" s="78"/>
      <c r="J922" s="67"/>
    </row>
    <row r="923" ht="14.25" customHeight="1">
      <c r="C923" s="67"/>
      <c r="H923" s="78"/>
      <c r="J923" s="67"/>
    </row>
    <row r="924" ht="14.25" customHeight="1">
      <c r="C924" s="67"/>
      <c r="H924" s="78"/>
      <c r="J924" s="67"/>
    </row>
    <row r="925" ht="14.25" customHeight="1">
      <c r="C925" s="67"/>
      <c r="H925" s="78"/>
      <c r="J925" s="67"/>
    </row>
    <row r="926" ht="14.25" customHeight="1">
      <c r="C926" s="67"/>
      <c r="H926" s="78"/>
      <c r="J926" s="67"/>
    </row>
    <row r="927" ht="14.25" customHeight="1">
      <c r="C927" s="67"/>
      <c r="H927" s="78"/>
      <c r="J927" s="67"/>
    </row>
    <row r="928" ht="14.25" customHeight="1">
      <c r="C928" s="67"/>
      <c r="H928" s="78"/>
      <c r="J928" s="67"/>
    </row>
    <row r="929" ht="14.25" customHeight="1">
      <c r="C929" s="67"/>
      <c r="H929" s="78"/>
      <c r="J929" s="67"/>
    </row>
    <row r="930" ht="14.25" customHeight="1">
      <c r="C930" s="67"/>
      <c r="H930" s="78"/>
      <c r="J930" s="67"/>
    </row>
    <row r="931" ht="14.25" customHeight="1">
      <c r="C931" s="67"/>
      <c r="H931" s="78"/>
      <c r="J931" s="67"/>
    </row>
    <row r="932" ht="14.25" customHeight="1">
      <c r="C932" s="67"/>
      <c r="H932" s="78"/>
      <c r="J932" s="67"/>
    </row>
    <row r="933" ht="14.25" customHeight="1">
      <c r="C933" s="67"/>
      <c r="H933" s="78"/>
      <c r="J933" s="67"/>
    </row>
    <row r="934" ht="14.25" customHeight="1">
      <c r="C934" s="67"/>
      <c r="H934" s="78"/>
      <c r="J934" s="67"/>
    </row>
    <row r="935" ht="14.25" customHeight="1">
      <c r="C935" s="67"/>
      <c r="H935" s="78"/>
      <c r="J935" s="67"/>
    </row>
    <row r="936" ht="14.25" customHeight="1">
      <c r="C936" s="67"/>
      <c r="H936" s="78"/>
      <c r="J936" s="67"/>
    </row>
    <row r="937" ht="14.25" customHeight="1">
      <c r="C937" s="67"/>
      <c r="H937" s="78"/>
      <c r="J937" s="67"/>
    </row>
    <row r="938" ht="14.25" customHeight="1">
      <c r="C938" s="67"/>
      <c r="H938" s="78"/>
      <c r="J938" s="67"/>
    </row>
    <row r="939" ht="14.25" customHeight="1">
      <c r="C939" s="67"/>
      <c r="H939" s="78"/>
      <c r="J939" s="67"/>
    </row>
    <row r="940" ht="14.25" customHeight="1">
      <c r="C940" s="67"/>
      <c r="H940" s="78"/>
      <c r="J940" s="67"/>
    </row>
    <row r="941" ht="14.25" customHeight="1">
      <c r="C941" s="67"/>
      <c r="H941" s="78"/>
      <c r="J941" s="67"/>
    </row>
    <row r="942" ht="14.25" customHeight="1">
      <c r="C942" s="67"/>
      <c r="H942" s="78"/>
      <c r="J942" s="67"/>
    </row>
    <row r="943" ht="14.25" customHeight="1">
      <c r="C943" s="67"/>
      <c r="H943" s="78"/>
      <c r="J943" s="67"/>
    </row>
    <row r="944" ht="14.25" customHeight="1">
      <c r="C944" s="67"/>
      <c r="H944" s="78"/>
      <c r="J944" s="67"/>
    </row>
    <row r="945" ht="14.25" customHeight="1">
      <c r="C945" s="67"/>
      <c r="H945" s="78"/>
      <c r="J945" s="67"/>
    </row>
    <row r="946" ht="14.25" customHeight="1">
      <c r="C946" s="67"/>
      <c r="H946" s="78"/>
      <c r="J946" s="67"/>
    </row>
    <row r="947" ht="14.25" customHeight="1">
      <c r="C947" s="67"/>
      <c r="H947" s="78"/>
      <c r="J947" s="67"/>
    </row>
    <row r="948" ht="14.25" customHeight="1">
      <c r="C948" s="67"/>
      <c r="H948" s="78"/>
      <c r="J948" s="67"/>
    </row>
    <row r="949" ht="14.25" customHeight="1">
      <c r="C949" s="67"/>
      <c r="H949" s="78"/>
      <c r="J949" s="67"/>
    </row>
    <row r="950" ht="14.25" customHeight="1">
      <c r="C950" s="67"/>
      <c r="H950" s="78"/>
      <c r="J950" s="67"/>
    </row>
    <row r="951" ht="14.25" customHeight="1">
      <c r="C951" s="67"/>
      <c r="H951" s="78"/>
      <c r="J951" s="67"/>
    </row>
    <row r="952" ht="14.25" customHeight="1">
      <c r="C952" s="67"/>
      <c r="H952" s="78"/>
      <c r="J952" s="67"/>
    </row>
    <row r="953" ht="14.25" customHeight="1">
      <c r="C953" s="67"/>
      <c r="H953" s="78"/>
      <c r="J953" s="67"/>
    </row>
    <row r="954" ht="14.25" customHeight="1">
      <c r="C954" s="67"/>
      <c r="H954" s="78"/>
      <c r="J954" s="67"/>
    </row>
    <row r="955" ht="14.25" customHeight="1">
      <c r="C955" s="67"/>
      <c r="H955" s="78"/>
      <c r="J955" s="67"/>
    </row>
    <row r="956" ht="14.25" customHeight="1">
      <c r="C956" s="67"/>
      <c r="H956" s="78"/>
      <c r="J956" s="67"/>
    </row>
    <row r="957" ht="14.25" customHeight="1">
      <c r="C957" s="67"/>
      <c r="H957" s="78"/>
      <c r="J957" s="67"/>
    </row>
    <row r="958" ht="14.25" customHeight="1">
      <c r="C958" s="67"/>
      <c r="H958" s="78"/>
      <c r="J958" s="67"/>
    </row>
    <row r="959" ht="14.25" customHeight="1">
      <c r="C959" s="67"/>
      <c r="H959" s="78"/>
      <c r="J959" s="67"/>
    </row>
    <row r="960" ht="14.25" customHeight="1">
      <c r="C960" s="67"/>
      <c r="H960" s="78"/>
      <c r="J960" s="67"/>
    </row>
    <row r="961" ht="14.25" customHeight="1">
      <c r="C961" s="67"/>
      <c r="H961" s="78"/>
      <c r="J961" s="67"/>
    </row>
    <row r="962" ht="14.25" customHeight="1">
      <c r="C962" s="67"/>
      <c r="H962" s="78"/>
      <c r="J962" s="67"/>
    </row>
    <row r="963" ht="14.25" customHeight="1">
      <c r="C963" s="67"/>
      <c r="H963" s="78"/>
      <c r="J963" s="67"/>
    </row>
    <row r="964" ht="14.25" customHeight="1">
      <c r="C964" s="67"/>
      <c r="H964" s="78"/>
      <c r="J964" s="67"/>
    </row>
    <row r="965" ht="14.25" customHeight="1">
      <c r="C965" s="67"/>
      <c r="H965" s="78"/>
      <c r="J965" s="67"/>
    </row>
    <row r="966" ht="14.25" customHeight="1">
      <c r="C966" s="67"/>
      <c r="H966" s="78"/>
      <c r="J966" s="67"/>
    </row>
    <row r="967" ht="14.25" customHeight="1">
      <c r="C967" s="67"/>
      <c r="H967" s="78"/>
      <c r="J967" s="67"/>
    </row>
    <row r="968" ht="14.25" customHeight="1">
      <c r="C968" s="67"/>
      <c r="H968" s="78"/>
      <c r="J968" s="67"/>
    </row>
    <row r="969" ht="14.25" customHeight="1">
      <c r="C969" s="67"/>
      <c r="H969" s="78"/>
      <c r="J969" s="67"/>
    </row>
    <row r="970" ht="14.25" customHeight="1">
      <c r="C970" s="67"/>
      <c r="H970" s="78"/>
      <c r="J970" s="67"/>
    </row>
    <row r="971" ht="14.25" customHeight="1">
      <c r="C971" s="67"/>
      <c r="H971" s="78"/>
      <c r="J971" s="67"/>
    </row>
    <row r="972" ht="14.25" customHeight="1">
      <c r="C972" s="67"/>
      <c r="H972" s="78"/>
      <c r="J972" s="67"/>
    </row>
    <row r="973" ht="14.25" customHeight="1">
      <c r="C973" s="67"/>
      <c r="H973" s="78"/>
      <c r="J973" s="67"/>
    </row>
    <row r="974" ht="14.25" customHeight="1">
      <c r="C974" s="67"/>
      <c r="H974" s="78"/>
      <c r="J974" s="67"/>
    </row>
    <row r="975" ht="14.25" customHeight="1">
      <c r="C975" s="67"/>
      <c r="H975" s="78"/>
      <c r="J975" s="67"/>
    </row>
    <row r="976" ht="14.25" customHeight="1">
      <c r="C976" s="67"/>
      <c r="H976" s="78"/>
      <c r="J976" s="67"/>
    </row>
    <row r="977" ht="14.25" customHeight="1">
      <c r="C977" s="67"/>
      <c r="H977" s="78"/>
      <c r="J977" s="67"/>
    </row>
    <row r="978" ht="14.25" customHeight="1">
      <c r="C978" s="67"/>
      <c r="H978" s="78"/>
      <c r="J978" s="67"/>
    </row>
    <row r="979" ht="14.25" customHeight="1">
      <c r="C979" s="67"/>
      <c r="H979" s="78"/>
      <c r="J979" s="67"/>
    </row>
    <row r="980" ht="14.25" customHeight="1">
      <c r="C980" s="67"/>
      <c r="H980" s="78"/>
      <c r="J980" s="67"/>
    </row>
    <row r="981" ht="14.25" customHeight="1">
      <c r="C981" s="67"/>
      <c r="H981" s="78"/>
      <c r="J981" s="67"/>
    </row>
    <row r="982" ht="14.25" customHeight="1">
      <c r="C982" s="67"/>
      <c r="H982" s="78"/>
      <c r="J982" s="67"/>
    </row>
    <row r="983" ht="14.25" customHeight="1">
      <c r="C983" s="67"/>
      <c r="H983" s="78"/>
      <c r="J983" s="67"/>
    </row>
    <row r="984" ht="14.25" customHeight="1">
      <c r="C984" s="67"/>
      <c r="H984" s="78"/>
      <c r="J984" s="67"/>
    </row>
    <row r="985" ht="14.25" customHeight="1">
      <c r="C985" s="67"/>
      <c r="H985" s="78"/>
      <c r="J985" s="67"/>
    </row>
    <row r="986" ht="14.25" customHeight="1">
      <c r="C986" s="67"/>
      <c r="H986" s="78"/>
      <c r="J986" s="67"/>
    </row>
    <row r="987" ht="14.25" customHeight="1">
      <c r="C987" s="67"/>
      <c r="H987" s="78"/>
      <c r="J987" s="67"/>
    </row>
    <row r="988" ht="14.25" customHeight="1">
      <c r="C988" s="67"/>
      <c r="H988" s="78"/>
      <c r="J988" s="67"/>
    </row>
    <row r="989" ht="14.25" customHeight="1">
      <c r="C989" s="67"/>
      <c r="H989" s="78"/>
      <c r="J989" s="67"/>
    </row>
    <row r="990" ht="14.25" customHeight="1">
      <c r="C990" s="67"/>
      <c r="H990" s="78"/>
      <c r="J990" s="67"/>
    </row>
    <row r="991" ht="14.25" customHeight="1">
      <c r="C991" s="67"/>
      <c r="H991" s="78"/>
      <c r="J991" s="67"/>
    </row>
    <row r="992" ht="14.25" customHeight="1">
      <c r="C992" s="67"/>
      <c r="H992" s="78"/>
      <c r="J992" s="67"/>
    </row>
    <row r="993" ht="14.25" customHeight="1">
      <c r="C993" s="67"/>
      <c r="H993" s="78"/>
      <c r="J993" s="67"/>
    </row>
    <row r="994" ht="14.25" customHeight="1">
      <c r="C994" s="67"/>
      <c r="H994" s="78"/>
      <c r="J994" s="67"/>
    </row>
  </sheetData>
  <conditionalFormatting sqref="H2:H53">
    <cfRule type="cellIs" dxfId="0" priority="1" operator="greaterThanOrEqual">
      <formula>"50%"</formula>
    </cfRule>
  </conditionalFormatting>
  <conditionalFormatting sqref="H2:H53">
    <cfRule type="cellIs" dxfId="1" priority="2" operator="between">
      <formula>"40%"</formula>
      <formula>"50%"</formula>
    </cfRule>
  </conditionalFormatting>
  <conditionalFormatting sqref="H2:H53">
    <cfRule type="cellIs" dxfId="2" priority="3" operator="lessThan">
      <formula>"40%"</formula>
    </cfRule>
  </conditionalFormatting>
  <conditionalFormatting sqref="I31:I53">
    <cfRule type="notContainsBlanks" dxfId="3" priority="4">
      <formula>LEN(TRIM(I31))&gt;0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586</v>
      </c>
      <c r="B1" s="2"/>
      <c r="C1" s="3"/>
      <c r="E1" s="4" t="s">
        <v>1</v>
      </c>
      <c r="F1" s="2"/>
      <c r="G1" s="3"/>
      <c r="I1" s="1" t="s">
        <v>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1625.72</v>
      </c>
      <c r="C3" s="14" t="s">
        <v>587</v>
      </c>
      <c r="E3" s="21" t="s">
        <v>17</v>
      </c>
      <c r="F3" s="19">
        <v>110.0</v>
      </c>
      <c r="G3" s="21" t="s">
        <v>552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544</v>
      </c>
      <c r="B4" s="19">
        <v>20.0</v>
      </c>
      <c r="C4" s="21" t="s">
        <v>588</v>
      </c>
      <c r="E4" s="21" t="s">
        <v>447</v>
      </c>
      <c r="F4" s="19">
        <v>40.0</v>
      </c>
      <c r="G4" s="21" t="s">
        <v>511</v>
      </c>
      <c r="I4" s="11">
        <v>2.0</v>
      </c>
      <c r="J4" s="11" t="s">
        <v>26</v>
      </c>
      <c r="K4" s="16"/>
    </row>
    <row r="5" ht="14.25" customHeight="1">
      <c r="A5" s="21" t="s">
        <v>341</v>
      </c>
      <c r="B5" s="19">
        <v>20.0</v>
      </c>
      <c r="C5" s="21" t="s">
        <v>588</v>
      </c>
      <c r="E5" s="21" t="s">
        <v>28</v>
      </c>
      <c r="F5" s="19">
        <v>40.0</v>
      </c>
      <c r="G5" s="21" t="s">
        <v>554</v>
      </c>
      <c r="I5" s="11">
        <v>3.0</v>
      </c>
      <c r="J5" s="16" t="s">
        <v>37</v>
      </c>
      <c r="K5" s="16"/>
    </row>
    <row r="6" ht="14.25" customHeight="1">
      <c r="A6" s="21" t="s">
        <v>326</v>
      </c>
      <c r="B6" s="19">
        <v>20.0</v>
      </c>
      <c r="C6" s="21" t="s">
        <v>588</v>
      </c>
      <c r="E6" s="21" t="s">
        <v>500</v>
      </c>
      <c r="F6" s="19">
        <v>40.0</v>
      </c>
      <c r="G6" s="21" t="s">
        <v>574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260</v>
      </c>
      <c r="B7" s="19">
        <v>20.0</v>
      </c>
      <c r="C7" s="21" t="s">
        <v>588</v>
      </c>
      <c r="E7" s="21" t="s">
        <v>555</v>
      </c>
      <c r="F7" s="19">
        <v>20.0</v>
      </c>
      <c r="G7" s="97" t="s">
        <v>556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589</v>
      </c>
      <c r="B8" s="19">
        <v>20.0</v>
      </c>
      <c r="C8" s="21" t="s">
        <v>588</v>
      </c>
      <c r="E8" s="21" t="s">
        <v>269</v>
      </c>
      <c r="F8" s="19">
        <v>90.0</v>
      </c>
      <c r="G8" s="21" t="s">
        <v>24</v>
      </c>
      <c r="I8" s="11">
        <v>6.0</v>
      </c>
      <c r="J8" s="16" t="s">
        <v>293</v>
      </c>
      <c r="K8" s="16"/>
    </row>
    <row r="9" ht="14.25" customHeight="1">
      <c r="A9" s="21" t="s">
        <v>33</v>
      </c>
      <c r="B9" s="19">
        <v>40.0</v>
      </c>
      <c r="C9" s="21" t="s">
        <v>590</v>
      </c>
      <c r="E9" s="21" t="s">
        <v>74</v>
      </c>
      <c r="F9" s="19">
        <v>90.0</v>
      </c>
      <c r="G9" s="21" t="s">
        <v>18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116</v>
      </c>
      <c r="B10" s="19">
        <v>-30.0</v>
      </c>
      <c r="C10" s="21" t="s">
        <v>588</v>
      </c>
      <c r="E10" s="21" t="s">
        <v>56</v>
      </c>
      <c r="F10" s="19">
        <v>20.0</v>
      </c>
      <c r="G10" s="21" t="s">
        <v>577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39</v>
      </c>
      <c r="B11" s="19">
        <v>90.0</v>
      </c>
      <c r="C11" s="21" t="s">
        <v>24</v>
      </c>
      <c r="E11" s="21" t="s">
        <v>209</v>
      </c>
      <c r="F11" s="19">
        <v>20.0</v>
      </c>
      <c r="G11" s="21" t="s">
        <v>577</v>
      </c>
      <c r="I11" s="11">
        <v>9.0</v>
      </c>
      <c r="J11" s="29" t="s">
        <v>269</v>
      </c>
      <c r="K11" s="16"/>
    </row>
    <row r="12" ht="14.25" customHeight="1">
      <c r="A12" s="21" t="s">
        <v>53</v>
      </c>
      <c r="B12" s="19">
        <v>90.0</v>
      </c>
      <c r="C12" s="21" t="s">
        <v>24</v>
      </c>
      <c r="E12" s="21" t="s">
        <v>95</v>
      </c>
      <c r="F12" s="19">
        <v>40.0</v>
      </c>
      <c r="G12" s="21" t="s">
        <v>592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356</v>
      </c>
      <c r="B13" s="19">
        <v>90.0</v>
      </c>
      <c r="C13" s="21" t="s">
        <v>24</v>
      </c>
      <c r="E13" s="21" t="s">
        <v>37</v>
      </c>
      <c r="F13" s="19">
        <v>90.0</v>
      </c>
      <c r="G13" s="21" t="s">
        <v>24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593</v>
      </c>
      <c r="E14" s="21" t="s">
        <v>26</v>
      </c>
      <c r="F14" s="19">
        <v>90.0</v>
      </c>
      <c r="G14" s="21" t="s">
        <v>24</v>
      </c>
      <c r="I14" s="11">
        <v>12.0</v>
      </c>
      <c r="J14" s="11" t="s">
        <v>42</v>
      </c>
      <c r="K14" s="16" t="s">
        <v>210</v>
      </c>
    </row>
    <row r="15" ht="14.25" customHeight="1">
      <c r="A15" s="21" t="s">
        <v>21</v>
      </c>
      <c r="B15" s="19">
        <v>-380.0</v>
      </c>
      <c r="C15" s="21" t="s">
        <v>21</v>
      </c>
      <c r="D15" s="39"/>
      <c r="E15" s="21"/>
      <c r="F15" s="19"/>
      <c r="G15" s="21"/>
      <c r="I15" s="11">
        <v>13.0</v>
      </c>
      <c r="J15" s="11" t="s">
        <v>74</v>
      </c>
      <c r="K15" s="16"/>
    </row>
    <row r="16" ht="14.25" customHeight="1">
      <c r="A16" s="21" t="s">
        <v>116</v>
      </c>
      <c r="B16" s="19">
        <v>-30.0</v>
      </c>
      <c r="C16" s="21" t="s">
        <v>594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126</v>
      </c>
      <c r="B17" s="19">
        <v>20.0</v>
      </c>
      <c r="C17" s="21" t="s">
        <v>594</v>
      </c>
    </row>
    <row r="18" ht="14.25" customHeight="1">
      <c r="A18" s="21" t="s">
        <v>544</v>
      </c>
      <c r="B18" s="19">
        <v>20.0</v>
      </c>
      <c r="C18" s="21" t="s">
        <v>594</v>
      </c>
    </row>
    <row r="19" ht="14.25" customHeight="1">
      <c r="A19" s="21" t="s">
        <v>562</v>
      </c>
      <c r="B19" s="19">
        <f>80-23</f>
        <v>57</v>
      </c>
      <c r="C19" s="21" t="s">
        <v>595</v>
      </c>
    </row>
    <row r="20" ht="14.25" customHeight="1">
      <c r="A20" s="21" t="s">
        <v>348</v>
      </c>
      <c r="B20" s="19">
        <v>20.0</v>
      </c>
      <c r="C20" s="21" t="s">
        <v>594</v>
      </c>
      <c r="E20" s="11" t="s">
        <v>46</v>
      </c>
      <c r="F20" s="12">
        <f>SUM(F3:F11)</f>
        <v>470</v>
      </c>
    </row>
    <row r="21" ht="14.25" customHeight="1">
      <c r="A21" s="21" t="s">
        <v>243</v>
      </c>
      <c r="B21" s="19">
        <v>20.0</v>
      </c>
      <c r="C21" s="21" t="s">
        <v>588</v>
      </c>
    </row>
    <row r="22" ht="14.25" customHeight="1">
      <c r="A22" s="21" t="s">
        <v>60</v>
      </c>
      <c r="B22" s="19">
        <v>90.0</v>
      </c>
      <c r="C22" s="21" t="s">
        <v>24</v>
      </c>
    </row>
    <row r="23" ht="14.25" customHeight="1">
      <c r="A23" s="21" t="s">
        <v>90</v>
      </c>
      <c r="B23" s="19">
        <v>180.0</v>
      </c>
      <c r="C23" s="21" t="s">
        <v>596</v>
      </c>
    </row>
    <row r="24" ht="14.25" customHeight="1">
      <c r="A24" s="21" t="s">
        <v>97</v>
      </c>
      <c r="B24" s="19">
        <v>90.0</v>
      </c>
      <c r="C24" s="21" t="s">
        <v>24</v>
      </c>
    </row>
    <row r="25" ht="14.25" customHeight="1">
      <c r="A25" s="21" t="s">
        <v>208</v>
      </c>
      <c r="B25" s="19">
        <v>90.0</v>
      </c>
      <c r="C25" s="21" t="s">
        <v>24</v>
      </c>
    </row>
    <row r="26" ht="14.25" customHeight="1">
      <c r="A26" s="21" t="s">
        <v>544</v>
      </c>
      <c r="B26" s="19">
        <v>20.0</v>
      </c>
      <c r="C26" s="21" t="s">
        <v>597</v>
      </c>
    </row>
    <row r="27" ht="14.25" customHeight="1">
      <c r="A27" s="21" t="s">
        <v>116</v>
      </c>
      <c r="B27" s="19">
        <v>-30.0</v>
      </c>
      <c r="C27" s="21" t="s">
        <v>597</v>
      </c>
    </row>
    <row r="28" ht="14.25" customHeight="1">
      <c r="A28" s="21" t="s">
        <v>281</v>
      </c>
      <c r="B28" s="19">
        <v>-30.0</v>
      </c>
      <c r="C28" s="21" t="s">
        <v>598</v>
      </c>
    </row>
    <row r="29" ht="14.25" customHeight="1">
      <c r="A29" s="21" t="s">
        <v>544</v>
      </c>
      <c r="B29" s="19">
        <v>20.0</v>
      </c>
      <c r="C29" s="21" t="s">
        <v>598</v>
      </c>
    </row>
    <row r="30" ht="14.25" customHeight="1">
      <c r="A30" s="21" t="s">
        <v>260</v>
      </c>
      <c r="B30" s="19">
        <v>20.0</v>
      </c>
      <c r="C30" s="21" t="s">
        <v>598</v>
      </c>
    </row>
    <row r="31" ht="14.25" customHeight="1">
      <c r="A31" s="21" t="s">
        <v>269</v>
      </c>
      <c r="B31" s="19">
        <v>90.0</v>
      </c>
      <c r="C31" s="21" t="s">
        <v>18</v>
      </c>
    </row>
    <row r="32" ht="14.25" customHeight="1">
      <c r="A32" s="21" t="s">
        <v>396</v>
      </c>
      <c r="B32" s="19">
        <v>90.0</v>
      </c>
      <c r="C32" s="21" t="s">
        <v>24</v>
      </c>
    </row>
    <row r="33" ht="14.25" customHeight="1">
      <c r="A33" s="21" t="s">
        <v>95</v>
      </c>
      <c r="B33" s="19">
        <v>20.0</v>
      </c>
      <c r="C33" s="21" t="s">
        <v>597</v>
      </c>
    </row>
    <row r="34" ht="14.25" customHeight="1">
      <c r="A34" s="21" t="s">
        <v>599</v>
      </c>
      <c r="B34" s="19">
        <v>20.0</v>
      </c>
      <c r="C34" s="21" t="s">
        <v>597</v>
      </c>
    </row>
    <row r="35" ht="14.25" customHeight="1">
      <c r="A35" s="21" t="s">
        <v>126</v>
      </c>
      <c r="B35" s="19">
        <v>20.0</v>
      </c>
      <c r="C35" s="21" t="s">
        <v>600</v>
      </c>
    </row>
    <row r="36" ht="14.25" customHeight="1">
      <c r="A36" s="21" t="s">
        <v>544</v>
      </c>
      <c r="B36" s="19">
        <v>20.0</v>
      </c>
      <c r="C36" s="21" t="s">
        <v>600</v>
      </c>
    </row>
    <row r="37" ht="14.25" customHeight="1">
      <c r="A37" s="21" t="s">
        <v>261</v>
      </c>
      <c r="B37" s="19">
        <v>20.0</v>
      </c>
      <c r="C37" s="21" t="s">
        <v>600</v>
      </c>
    </row>
    <row r="38" ht="14.25" customHeight="1">
      <c r="A38" s="21" t="s">
        <v>116</v>
      </c>
      <c r="B38" s="19">
        <v>-30.0</v>
      </c>
      <c r="C38" s="21" t="s">
        <v>600</v>
      </c>
    </row>
    <row r="39" ht="14.25" customHeight="1">
      <c r="A39" s="21" t="s">
        <v>601</v>
      </c>
      <c r="B39" s="19">
        <v>-30.0</v>
      </c>
      <c r="C39" s="21" t="s">
        <v>600</v>
      </c>
    </row>
    <row r="40" ht="14.25" customHeight="1">
      <c r="A40" s="21" t="s">
        <v>243</v>
      </c>
      <c r="B40" s="19">
        <v>20.0</v>
      </c>
      <c r="C40" s="21" t="s">
        <v>600</v>
      </c>
    </row>
    <row r="41" ht="14.25" customHeight="1">
      <c r="A41" s="21" t="s">
        <v>562</v>
      </c>
      <c r="B41" s="19">
        <v>110.0</v>
      </c>
      <c r="C41" s="21" t="s">
        <v>602</v>
      </c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1482.72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605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1482.72</v>
      </c>
      <c r="C3" s="14" t="s">
        <v>607</v>
      </c>
      <c r="E3" s="21" t="s">
        <v>17</v>
      </c>
      <c r="F3" s="19">
        <v>110.0</v>
      </c>
      <c r="G3" s="21" t="s">
        <v>552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53</v>
      </c>
      <c r="B4" s="19">
        <v>90.0</v>
      </c>
      <c r="C4" s="21" t="s">
        <v>99</v>
      </c>
      <c r="E4" s="21" t="s">
        <v>447</v>
      </c>
      <c r="F4" s="19">
        <v>40.0</v>
      </c>
      <c r="G4" s="21" t="s">
        <v>511</v>
      </c>
      <c r="I4" s="11">
        <v>2.0</v>
      </c>
      <c r="J4" s="11" t="s">
        <v>26</v>
      </c>
      <c r="K4" s="16"/>
    </row>
    <row r="5" ht="14.25" customHeight="1">
      <c r="A5" s="21" t="s">
        <v>356</v>
      </c>
      <c r="B5" s="19">
        <v>90.0</v>
      </c>
      <c r="C5" s="21" t="s">
        <v>99</v>
      </c>
      <c r="E5" s="21" t="s">
        <v>28</v>
      </c>
      <c r="F5" s="19">
        <v>40.0</v>
      </c>
      <c r="G5" s="21" t="s">
        <v>554</v>
      </c>
      <c r="I5" s="11">
        <v>3.0</v>
      </c>
      <c r="J5" s="16" t="s">
        <v>37</v>
      </c>
      <c r="K5" s="16"/>
    </row>
    <row r="6" ht="14.25" customHeight="1">
      <c r="A6" s="21" t="s">
        <v>42</v>
      </c>
      <c r="B6" s="19">
        <v>90.0</v>
      </c>
      <c r="C6" s="21" t="s">
        <v>99</v>
      </c>
      <c r="E6" s="21" t="s">
        <v>500</v>
      </c>
      <c r="F6" s="19">
        <v>40.0</v>
      </c>
      <c r="G6" s="21" t="s">
        <v>574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60</v>
      </c>
      <c r="B7" s="19">
        <v>90.0</v>
      </c>
      <c r="C7" s="21" t="s">
        <v>99</v>
      </c>
      <c r="E7" s="21" t="s">
        <v>555</v>
      </c>
      <c r="F7" s="19">
        <v>20.0</v>
      </c>
      <c r="G7" s="97" t="s">
        <v>556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69</v>
      </c>
      <c r="B8" s="19">
        <v>-224.0</v>
      </c>
      <c r="C8" s="21" t="s">
        <v>608</v>
      </c>
      <c r="E8" s="21" t="s">
        <v>74</v>
      </c>
      <c r="F8" s="19">
        <v>180.0</v>
      </c>
      <c r="G8" s="21" t="s">
        <v>609</v>
      </c>
      <c r="I8" s="11">
        <v>6.0</v>
      </c>
      <c r="J8" s="16" t="s">
        <v>562</v>
      </c>
      <c r="K8" s="16" t="s">
        <v>20</v>
      </c>
    </row>
    <row r="9" ht="14.25" customHeight="1">
      <c r="A9" s="21" t="s">
        <v>544</v>
      </c>
      <c r="B9" s="19">
        <v>20.0</v>
      </c>
      <c r="C9" s="21" t="s">
        <v>610</v>
      </c>
      <c r="E9" s="21" t="s">
        <v>56</v>
      </c>
      <c r="F9" s="19">
        <v>20.0</v>
      </c>
      <c r="G9" s="21" t="s">
        <v>577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260</v>
      </c>
      <c r="B10" s="19">
        <v>20.0</v>
      </c>
      <c r="C10" s="21" t="s">
        <v>610</v>
      </c>
      <c r="E10" s="21" t="s">
        <v>209</v>
      </c>
      <c r="F10" s="19">
        <v>20.0</v>
      </c>
      <c r="G10" s="21" t="s">
        <v>577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39</v>
      </c>
      <c r="B11" s="19">
        <v>90.0</v>
      </c>
      <c r="C11" s="21" t="s">
        <v>99</v>
      </c>
      <c r="E11" s="21" t="s">
        <v>37</v>
      </c>
      <c r="F11" s="19">
        <v>130.0</v>
      </c>
      <c r="G11" s="21" t="s">
        <v>611</v>
      </c>
      <c r="I11" s="11">
        <v>9.0</v>
      </c>
      <c r="J11" s="29" t="s">
        <v>269</v>
      </c>
      <c r="K11" s="16" t="s">
        <v>20</v>
      </c>
    </row>
    <row r="12" ht="14.25" customHeight="1">
      <c r="A12" s="21" t="s">
        <v>19</v>
      </c>
      <c r="B12" s="19">
        <v>90.0</v>
      </c>
      <c r="C12" s="21" t="s">
        <v>99</v>
      </c>
      <c r="E12" s="21" t="s">
        <v>26</v>
      </c>
      <c r="F12" s="19">
        <v>80.0</v>
      </c>
      <c r="G12" s="21" t="s">
        <v>612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613</v>
      </c>
      <c r="B13" s="19">
        <v>60.0</v>
      </c>
      <c r="C13" s="21" t="s">
        <v>614</v>
      </c>
      <c r="E13" s="21" t="s">
        <v>287</v>
      </c>
      <c r="F13" s="19">
        <v>20.0</v>
      </c>
      <c r="G13" s="21" t="s">
        <v>615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616</v>
      </c>
      <c r="E14" s="21" t="s">
        <v>213</v>
      </c>
      <c r="F14" s="19">
        <v>20.0</v>
      </c>
      <c r="G14" s="21" t="s">
        <v>617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260</v>
      </c>
      <c r="B15" s="19">
        <v>20.0</v>
      </c>
      <c r="C15" s="21" t="s">
        <v>615</v>
      </c>
      <c r="D15" s="39"/>
      <c r="E15" s="21" t="s">
        <v>33</v>
      </c>
      <c r="F15" s="19">
        <v>40.0</v>
      </c>
      <c r="G15" s="21" t="s">
        <v>618</v>
      </c>
      <c r="I15" s="11">
        <v>13.0</v>
      </c>
      <c r="J15" s="11" t="s">
        <v>74</v>
      </c>
      <c r="K15" s="16"/>
    </row>
    <row r="16" ht="14.25" customHeight="1">
      <c r="A16" s="21" t="s">
        <v>208</v>
      </c>
      <c r="B16" s="19">
        <v>90.0</v>
      </c>
      <c r="C16" s="21" t="s">
        <v>99</v>
      </c>
      <c r="E16" s="21" t="s">
        <v>613</v>
      </c>
      <c r="F16" s="19">
        <v>20.0</v>
      </c>
      <c r="G16" s="21" t="s">
        <v>619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126</v>
      </c>
      <c r="B17" s="19">
        <v>20.0</v>
      </c>
      <c r="C17" s="21" t="s">
        <v>615</v>
      </c>
      <c r="E17" s="21" t="s">
        <v>100</v>
      </c>
      <c r="F17" s="19">
        <v>20.0</v>
      </c>
      <c r="G17" s="21" t="s">
        <v>619</v>
      </c>
    </row>
    <row r="18" ht="14.25" customHeight="1">
      <c r="A18" s="21" t="s">
        <v>544</v>
      </c>
      <c r="B18" s="19">
        <v>20.0</v>
      </c>
      <c r="C18" s="21" t="s">
        <v>615</v>
      </c>
      <c r="E18" s="21" t="s">
        <v>620</v>
      </c>
      <c r="F18" s="19">
        <v>20.0</v>
      </c>
      <c r="G18" s="21" t="s">
        <v>619</v>
      </c>
    </row>
    <row r="19" ht="14.25" customHeight="1">
      <c r="A19" s="21" t="s">
        <v>621</v>
      </c>
      <c r="B19" s="19">
        <v>90.0</v>
      </c>
      <c r="C19" s="21" t="s">
        <v>99</v>
      </c>
      <c r="E19" s="21" t="s">
        <v>290</v>
      </c>
      <c r="F19" s="19">
        <v>20.0</v>
      </c>
      <c r="G19" s="21" t="s">
        <v>619</v>
      </c>
    </row>
    <row r="20" ht="14.25" customHeight="1">
      <c r="A20" s="21" t="s">
        <v>269</v>
      </c>
      <c r="B20" s="19">
        <v>180.0</v>
      </c>
      <c r="C20" s="21" t="s">
        <v>622</v>
      </c>
    </row>
    <row r="21" ht="14.25" customHeight="1">
      <c r="A21" s="21" t="s">
        <v>623</v>
      </c>
      <c r="B21" s="19">
        <v>-235.0</v>
      </c>
      <c r="C21" s="21" t="s">
        <v>364</v>
      </c>
    </row>
    <row r="22" ht="14.25" customHeight="1">
      <c r="A22" s="21" t="s">
        <v>624</v>
      </c>
      <c r="B22" s="19">
        <v>20.0</v>
      </c>
      <c r="C22" s="21" t="s">
        <v>615</v>
      </c>
      <c r="E22" s="11" t="s">
        <v>46</v>
      </c>
      <c r="F22" s="12">
        <f>SUM(F3:F19)</f>
        <v>840</v>
      </c>
    </row>
    <row r="23" ht="14.25" customHeight="1">
      <c r="A23" s="21" t="s">
        <v>431</v>
      </c>
      <c r="B23" s="19">
        <v>20.0</v>
      </c>
      <c r="C23" s="21" t="s">
        <v>617</v>
      </c>
    </row>
    <row r="24" ht="14.25" customHeight="1">
      <c r="A24" s="21" t="s">
        <v>544</v>
      </c>
      <c r="B24" s="19">
        <v>20.0</v>
      </c>
      <c r="C24" s="21" t="s">
        <v>617</v>
      </c>
    </row>
    <row r="25" ht="14.25" customHeight="1">
      <c r="A25" s="21" t="s">
        <v>365</v>
      </c>
      <c r="B25" s="19">
        <v>90.0</v>
      </c>
      <c r="C25" s="21" t="s">
        <v>99</v>
      </c>
    </row>
    <row r="26" ht="14.25" customHeight="1">
      <c r="A26" s="21" t="s">
        <v>213</v>
      </c>
      <c r="B26" s="19">
        <v>20.0</v>
      </c>
      <c r="C26" s="21" t="s">
        <v>617</v>
      </c>
    </row>
    <row r="27" ht="14.25" customHeight="1">
      <c r="A27" s="21" t="s">
        <v>26</v>
      </c>
      <c r="B27" s="19">
        <v>100.0</v>
      </c>
      <c r="C27" s="21" t="s">
        <v>625</v>
      </c>
    </row>
    <row r="28" ht="14.25" customHeight="1">
      <c r="A28" s="21" t="s">
        <v>613</v>
      </c>
      <c r="B28" s="19">
        <v>20.0</v>
      </c>
      <c r="C28" s="21" t="s">
        <v>617</v>
      </c>
    </row>
    <row r="29" ht="14.25" customHeight="1">
      <c r="A29" s="21" t="s">
        <v>534</v>
      </c>
      <c r="B29" s="19">
        <v>-55.0</v>
      </c>
      <c r="C29" s="21" t="s">
        <v>105</v>
      </c>
    </row>
    <row r="30" ht="14.25" customHeight="1">
      <c r="A30" s="21" t="s">
        <v>544</v>
      </c>
      <c r="B30" s="19">
        <v>20.0</v>
      </c>
      <c r="C30" s="21" t="s">
        <v>619</v>
      </c>
    </row>
    <row r="31" ht="14.25" customHeight="1">
      <c r="A31" s="21" t="s">
        <v>41</v>
      </c>
      <c r="B31" s="19">
        <v>20.0</v>
      </c>
      <c r="C31" s="21" t="s">
        <v>619</v>
      </c>
    </row>
    <row r="32" ht="14.25" customHeight="1">
      <c r="A32" s="21" t="s">
        <v>41</v>
      </c>
      <c r="B32" s="19">
        <v>-250.0</v>
      </c>
      <c r="C32" s="21" t="s">
        <v>364</v>
      </c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1058.72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descending="1"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626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1058.72</v>
      </c>
      <c r="C3" s="14" t="s">
        <v>627</v>
      </c>
      <c r="E3" s="21" t="s">
        <v>17</v>
      </c>
      <c r="F3" s="19">
        <v>60.0</v>
      </c>
      <c r="G3" s="21" t="s">
        <v>628</v>
      </c>
      <c r="I3" s="11">
        <v>1.0</v>
      </c>
      <c r="J3" s="11" t="s">
        <v>19</v>
      </c>
      <c r="K3" s="16"/>
    </row>
    <row r="4" ht="14.25" customHeight="1">
      <c r="A4" s="21" t="s">
        <v>53</v>
      </c>
      <c r="B4" s="19">
        <v>90.0</v>
      </c>
      <c r="C4" s="21" t="s">
        <v>71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356</v>
      </c>
      <c r="B5" s="19">
        <v>90.0</v>
      </c>
      <c r="C5" s="21" t="s">
        <v>71</v>
      </c>
      <c r="E5" s="21" t="s">
        <v>500</v>
      </c>
      <c r="F5" s="19">
        <v>40.0</v>
      </c>
      <c r="G5" s="21" t="s">
        <v>574</v>
      </c>
      <c r="I5" s="11">
        <v>3.0</v>
      </c>
      <c r="J5" s="16" t="s">
        <v>95</v>
      </c>
      <c r="K5" s="16"/>
    </row>
    <row r="6" ht="14.25" customHeight="1">
      <c r="A6" s="21" t="s">
        <v>39</v>
      </c>
      <c r="B6" s="19">
        <v>90.0</v>
      </c>
      <c r="C6" s="21" t="s">
        <v>71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/>
    </row>
    <row r="7" ht="14.25" customHeight="1">
      <c r="A7" s="21" t="s">
        <v>348</v>
      </c>
      <c r="B7" s="19">
        <v>20.0</v>
      </c>
      <c r="C7" s="21" t="s">
        <v>629</v>
      </c>
      <c r="E7" s="21" t="s">
        <v>74</v>
      </c>
      <c r="F7" s="19">
        <v>270.0</v>
      </c>
      <c r="G7" s="21" t="s">
        <v>630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631</v>
      </c>
      <c r="B8" s="19">
        <v>20.0</v>
      </c>
      <c r="C8" s="21" t="s">
        <v>629</v>
      </c>
      <c r="E8" s="21" t="s">
        <v>56</v>
      </c>
      <c r="F8" s="19">
        <v>20.0</v>
      </c>
      <c r="G8" s="21" t="s">
        <v>577</v>
      </c>
      <c r="I8" s="11">
        <v>6.0</v>
      </c>
      <c r="J8" s="16" t="s">
        <v>562</v>
      </c>
      <c r="K8" s="16" t="s">
        <v>210</v>
      </c>
    </row>
    <row r="9" ht="14.25" customHeight="1">
      <c r="A9" s="21" t="s">
        <v>33</v>
      </c>
      <c r="B9" s="19">
        <v>40.0</v>
      </c>
      <c r="C9" s="21" t="s">
        <v>618</v>
      </c>
      <c r="E9" s="21" t="s">
        <v>37</v>
      </c>
      <c r="F9" s="19">
        <v>170.0</v>
      </c>
      <c r="G9" s="21" t="s">
        <v>632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633</v>
      </c>
      <c r="B10" s="19">
        <v>-30.0</v>
      </c>
      <c r="C10" s="21" t="s">
        <v>619</v>
      </c>
      <c r="E10" s="21" t="s">
        <v>26</v>
      </c>
      <c r="F10" s="19">
        <v>170.0</v>
      </c>
      <c r="G10" s="21" t="s">
        <v>634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209</v>
      </c>
      <c r="B11" s="19">
        <v>40.0</v>
      </c>
      <c r="C11" s="21" t="s">
        <v>635</v>
      </c>
      <c r="E11" s="21" t="s">
        <v>213</v>
      </c>
      <c r="F11" s="19">
        <v>20.0</v>
      </c>
      <c r="G11" s="21" t="s">
        <v>617</v>
      </c>
      <c r="I11" s="11">
        <v>9.0</v>
      </c>
      <c r="J11" s="29" t="s">
        <v>269</v>
      </c>
      <c r="K11" s="16"/>
    </row>
    <row r="12" ht="14.25" customHeight="1">
      <c r="A12" s="21" t="s">
        <v>17</v>
      </c>
      <c r="B12" s="19">
        <v>50.0</v>
      </c>
      <c r="C12" s="21" t="s">
        <v>636</v>
      </c>
      <c r="E12" s="21" t="s">
        <v>290</v>
      </c>
      <c r="F12" s="19">
        <v>40.0</v>
      </c>
      <c r="G12" s="21" t="s">
        <v>637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620</v>
      </c>
      <c r="B13" s="19">
        <v>20.0</v>
      </c>
      <c r="C13" s="21" t="s">
        <v>619</v>
      </c>
      <c r="E13" s="21" t="s">
        <v>100</v>
      </c>
      <c r="F13" s="19">
        <v>20.0</v>
      </c>
      <c r="G13" s="21" t="s">
        <v>638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639</v>
      </c>
      <c r="E14" s="21" t="s">
        <v>19</v>
      </c>
      <c r="F14" s="19">
        <v>90.0</v>
      </c>
      <c r="G14" s="21" t="s">
        <v>71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287</v>
      </c>
      <c r="B15" s="19">
        <v>20.0</v>
      </c>
      <c r="C15" s="21" t="s">
        <v>615</v>
      </c>
      <c r="D15" s="39"/>
      <c r="E15" s="21" t="s">
        <v>95</v>
      </c>
      <c r="F15" s="19">
        <v>90.0</v>
      </c>
      <c r="G15" s="21" t="s">
        <v>71</v>
      </c>
      <c r="I15" s="11">
        <v>13.0</v>
      </c>
      <c r="J15" s="11" t="s">
        <v>74</v>
      </c>
      <c r="K15" s="16"/>
    </row>
    <row r="16" ht="14.25" customHeight="1">
      <c r="A16" s="21" t="s">
        <v>613</v>
      </c>
      <c r="B16" s="19">
        <v>20.0</v>
      </c>
      <c r="C16" s="21" t="s">
        <v>619</v>
      </c>
      <c r="E16" s="21" t="s">
        <v>365</v>
      </c>
      <c r="F16" s="19">
        <v>90.0</v>
      </c>
      <c r="G16" s="21" t="s">
        <v>71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100</v>
      </c>
      <c r="B17" s="19">
        <v>40.0</v>
      </c>
      <c r="C17" s="21" t="s">
        <v>640</v>
      </c>
      <c r="E17" s="21" t="s">
        <v>269</v>
      </c>
      <c r="F17" s="19">
        <v>90.0</v>
      </c>
      <c r="G17" s="21" t="s">
        <v>71</v>
      </c>
    </row>
    <row r="18" ht="14.25" customHeight="1">
      <c r="A18" s="21" t="s">
        <v>641</v>
      </c>
      <c r="B18" s="19">
        <v>90.0</v>
      </c>
      <c r="C18" s="21" t="s">
        <v>71</v>
      </c>
    </row>
    <row r="19" ht="14.25" customHeight="1">
      <c r="A19" s="21" t="s">
        <v>193</v>
      </c>
      <c r="B19" s="19">
        <v>90.0</v>
      </c>
      <c r="C19" s="21" t="s">
        <v>71</v>
      </c>
    </row>
    <row r="20" ht="14.25" customHeight="1">
      <c r="A20" s="21" t="s">
        <v>447</v>
      </c>
      <c r="B20" s="19">
        <v>20.0</v>
      </c>
      <c r="C20" s="21" t="s">
        <v>511</v>
      </c>
    </row>
    <row r="21" ht="14.25" customHeight="1">
      <c r="A21" s="21" t="s">
        <v>187</v>
      </c>
      <c r="B21" s="19">
        <v>20.0</v>
      </c>
      <c r="C21" s="21" t="s">
        <v>629</v>
      </c>
    </row>
    <row r="22" ht="14.25" customHeight="1">
      <c r="A22" s="21" t="s">
        <v>631</v>
      </c>
      <c r="B22" s="19">
        <v>20.0</v>
      </c>
      <c r="C22" s="21" t="s">
        <v>638</v>
      </c>
    </row>
    <row r="23" ht="14.25" customHeight="1">
      <c r="A23" s="21" t="s">
        <v>116</v>
      </c>
      <c r="B23" s="19">
        <v>-30.0</v>
      </c>
      <c r="C23" s="21" t="s">
        <v>638</v>
      </c>
      <c r="E23" s="11" t="s">
        <v>46</v>
      </c>
      <c r="F23" s="12">
        <f>SUM(F3:F18)</f>
        <v>1230</v>
      </c>
    </row>
    <row r="24" ht="14.25" customHeight="1">
      <c r="A24" s="21" t="s">
        <v>243</v>
      </c>
      <c r="B24" s="19">
        <v>20.0</v>
      </c>
      <c r="C24" s="21" t="s">
        <v>638</v>
      </c>
    </row>
    <row r="25" ht="14.25" customHeight="1">
      <c r="A25" s="21" t="s">
        <v>208</v>
      </c>
      <c r="B25" s="19">
        <v>90.0</v>
      </c>
      <c r="C25" s="21" t="s">
        <v>71</v>
      </c>
    </row>
    <row r="26" ht="14.25" customHeight="1">
      <c r="A26" s="21" t="s">
        <v>126</v>
      </c>
      <c r="B26" s="19">
        <v>20.0</v>
      </c>
      <c r="C26" s="21" t="s">
        <v>638</v>
      </c>
    </row>
    <row r="27" ht="14.25" customHeight="1">
      <c r="A27" s="21" t="s">
        <v>631</v>
      </c>
      <c r="B27" s="19">
        <v>20.0</v>
      </c>
      <c r="C27" s="21" t="s">
        <v>642</v>
      </c>
    </row>
    <row r="28" ht="14.25" customHeight="1">
      <c r="A28" s="21" t="s">
        <v>126</v>
      </c>
      <c r="B28" s="19">
        <v>20.0</v>
      </c>
      <c r="C28" s="21" t="s">
        <v>642</v>
      </c>
    </row>
    <row r="29" ht="14.25" customHeight="1">
      <c r="A29" s="21" t="s">
        <v>644</v>
      </c>
      <c r="B29" s="19">
        <v>20.0</v>
      </c>
      <c r="C29" s="21" t="s">
        <v>642</v>
      </c>
    </row>
    <row r="30" ht="14.25" customHeight="1">
      <c r="A30" s="21" t="s">
        <v>116</v>
      </c>
      <c r="B30" s="19">
        <v>-30.0</v>
      </c>
      <c r="C30" s="21" t="s">
        <v>642</v>
      </c>
    </row>
    <row r="31" ht="14.25" customHeight="1">
      <c r="A31" s="21" t="s">
        <v>60</v>
      </c>
      <c r="B31" s="19">
        <v>90.0</v>
      </c>
      <c r="C31" s="21" t="s">
        <v>71</v>
      </c>
    </row>
    <row r="32" ht="14.25" customHeight="1">
      <c r="A32" s="21" t="s">
        <v>631</v>
      </c>
      <c r="B32" s="19">
        <v>20.0</v>
      </c>
      <c r="C32" s="21" t="s">
        <v>432</v>
      </c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998.72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643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998.72</v>
      </c>
      <c r="C3" s="14" t="s">
        <v>645</v>
      </c>
      <c r="E3" s="21" t="s">
        <v>17</v>
      </c>
      <c r="F3" s="19">
        <v>80.0</v>
      </c>
      <c r="G3" s="21" t="s">
        <v>646</v>
      </c>
      <c r="I3" s="11">
        <v>1.0</v>
      </c>
      <c r="J3" s="11" t="s">
        <v>19</v>
      </c>
      <c r="K3" s="16"/>
    </row>
    <row r="4" ht="14.25" customHeight="1">
      <c r="A4" s="21" t="s">
        <v>356</v>
      </c>
      <c r="B4" s="19">
        <v>90.0</v>
      </c>
      <c r="C4" s="21" t="s">
        <v>57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365</v>
      </c>
      <c r="B5" s="19">
        <v>180.0</v>
      </c>
      <c r="C5" s="21" t="s">
        <v>647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95</v>
      </c>
      <c r="K5" s="16"/>
    </row>
    <row r="6" ht="14.25" customHeight="1">
      <c r="A6" s="21" t="s">
        <v>19</v>
      </c>
      <c r="B6" s="19">
        <v>90.0</v>
      </c>
      <c r="C6" s="21" t="s">
        <v>71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95</v>
      </c>
      <c r="B7" s="19">
        <v>90.0</v>
      </c>
      <c r="C7" s="21" t="s">
        <v>71</v>
      </c>
      <c r="E7" s="21" t="s">
        <v>74</v>
      </c>
      <c r="F7" s="19">
        <v>270.0</v>
      </c>
      <c r="G7" s="21" t="s">
        <v>630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39</v>
      </c>
      <c r="B8" s="19">
        <v>90.0</v>
      </c>
      <c r="C8" s="21" t="s">
        <v>57</v>
      </c>
      <c r="E8" s="21" t="s">
        <v>56</v>
      </c>
      <c r="F8" s="19">
        <v>20.0</v>
      </c>
      <c r="G8" s="21" t="s">
        <v>577</v>
      </c>
      <c r="I8" s="11">
        <v>6.0</v>
      </c>
      <c r="J8" s="16" t="s">
        <v>562</v>
      </c>
      <c r="K8" s="16" t="s">
        <v>210</v>
      </c>
    </row>
    <row r="9" ht="14.25" customHeight="1">
      <c r="A9" s="21" t="s">
        <v>544</v>
      </c>
      <c r="B9" s="19">
        <v>20.0</v>
      </c>
      <c r="C9" s="21" t="s">
        <v>649</v>
      </c>
      <c r="E9" s="21" t="s">
        <v>213</v>
      </c>
      <c r="F9" s="19">
        <v>20.0</v>
      </c>
      <c r="G9" s="21" t="s">
        <v>617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37</v>
      </c>
      <c r="B10" s="19">
        <v>190.0</v>
      </c>
      <c r="C10" s="21" t="s">
        <v>650</v>
      </c>
      <c r="E10" s="21" t="s">
        <v>269</v>
      </c>
      <c r="F10" s="19">
        <v>180.0</v>
      </c>
      <c r="G10" s="21" t="s">
        <v>445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26</v>
      </c>
      <c r="B11" s="19">
        <v>180.0</v>
      </c>
      <c r="C11" s="21" t="s">
        <v>634</v>
      </c>
      <c r="E11" s="21" t="s">
        <v>651</v>
      </c>
      <c r="F11" s="19">
        <v>40.0</v>
      </c>
      <c r="G11" s="19" t="s">
        <v>652</v>
      </c>
      <c r="I11" s="11">
        <v>9.0</v>
      </c>
      <c r="J11" s="29" t="s">
        <v>269</v>
      </c>
      <c r="K11" s="16"/>
    </row>
    <row r="12" ht="14.25" customHeight="1">
      <c r="A12" s="21" t="s">
        <v>53</v>
      </c>
      <c r="B12" s="19">
        <v>90.0</v>
      </c>
      <c r="C12" s="21" t="s">
        <v>57</v>
      </c>
      <c r="E12" s="21" t="s">
        <v>37</v>
      </c>
      <c r="F12" s="19">
        <v>40.0</v>
      </c>
      <c r="G12" s="19" t="s">
        <v>653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290</v>
      </c>
      <c r="B13" s="19">
        <v>60.0</v>
      </c>
      <c r="C13" s="21" t="s">
        <v>654</v>
      </c>
      <c r="E13" s="21" t="s">
        <v>261</v>
      </c>
      <c r="F13" s="19">
        <v>20.0</v>
      </c>
      <c r="G13" s="21" t="s">
        <v>655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656</v>
      </c>
      <c r="E14" s="21" t="s">
        <v>657</v>
      </c>
      <c r="F14" s="19">
        <v>20.0</v>
      </c>
      <c r="G14" s="21" t="s">
        <v>655</v>
      </c>
      <c r="I14" s="11">
        <v>12.0</v>
      </c>
      <c r="J14" s="11" t="s">
        <v>42</v>
      </c>
      <c r="K14" s="16"/>
    </row>
    <row r="15" ht="14.25" customHeight="1">
      <c r="A15" s="21" t="s">
        <v>658</v>
      </c>
      <c r="B15" s="19">
        <v>20.0</v>
      </c>
      <c r="C15" s="19" t="s">
        <v>449</v>
      </c>
      <c r="D15" s="39"/>
      <c r="E15" s="21" t="s">
        <v>19</v>
      </c>
      <c r="F15" s="19">
        <v>90.0</v>
      </c>
      <c r="G15" s="21" t="s">
        <v>57</v>
      </c>
      <c r="I15" s="11">
        <v>13.0</v>
      </c>
      <c r="J15" s="11" t="s">
        <v>74</v>
      </c>
      <c r="K15" s="16" t="s">
        <v>210</v>
      </c>
    </row>
    <row r="16" ht="14.25" customHeight="1">
      <c r="A16" s="21" t="s">
        <v>261</v>
      </c>
      <c r="B16" s="19">
        <v>20.0</v>
      </c>
      <c r="C16" s="19" t="s">
        <v>449</v>
      </c>
      <c r="E16" s="21" t="s">
        <v>26</v>
      </c>
      <c r="F16" s="19">
        <v>90.0</v>
      </c>
      <c r="G16" s="21" t="s">
        <v>57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126</v>
      </c>
      <c r="B17" s="19">
        <v>20.0</v>
      </c>
      <c r="C17" s="19" t="s">
        <v>449</v>
      </c>
      <c r="E17" s="21" t="s">
        <v>95</v>
      </c>
      <c r="F17" s="19">
        <v>90.0</v>
      </c>
      <c r="G17" s="21" t="s">
        <v>57</v>
      </c>
    </row>
    <row r="18" ht="14.25" customHeight="1">
      <c r="A18" s="21" t="s">
        <v>544</v>
      </c>
      <c r="B18" s="19">
        <v>20.0</v>
      </c>
      <c r="C18" s="19" t="s">
        <v>449</v>
      </c>
      <c r="E18" s="21" t="s">
        <v>42</v>
      </c>
      <c r="F18" s="19">
        <v>90.0</v>
      </c>
      <c r="G18" s="21" t="s">
        <v>57</v>
      </c>
    </row>
    <row r="19" ht="14.25" customHeight="1">
      <c r="A19" s="21" t="s">
        <v>283</v>
      </c>
      <c r="B19" s="19">
        <v>110.0</v>
      </c>
      <c r="C19" s="21" t="s">
        <v>659</v>
      </c>
      <c r="E19" s="21" t="s">
        <v>522</v>
      </c>
      <c r="F19" s="19">
        <v>20.0</v>
      </c>
      <c r="G19" s="21" t="s">
        <v>660</v>
      </c>
    </row>
    <row r="20" ht="14.25" customHeight="1">
      <c r="A20" s="21" t="s">
        <v>116</v>
      </c>
      <c r="B20" s="19">
        <v>-60.0</v>
      </c>
      <c r="C20" s="21" t="s">
        <v>661</v>
      </c>
    </row>
    <row r="21" ht="14.25" customHeight="1">
      <c r="A21" s="21" t="s">
        <v>662</v>
      </c>
      <c r="B21" s="19">
        <v>-30.0</v>
      </c>
      <c r="C21" s="21" t="s">
        <v>655</v>
      </c>
    </row>
    <row r="22" ht="14.25" customHeight="1">
      <c r="A22" s="21" t="s">
        <v>208</v>
      </c>
      <c r="B22" s="19">
        <v>90.0</v>
      </c>
      <c r="C22" s="21" t="s">
        <v>57</v>
      </c>
    </row>
    <row r="23" ht="14.25" customHeight="1">
      <c r="A23" s="21" t="s">
        <v>60</v>
      </c>
      <c r="B23" s="19">
        <v>90.0</v>
      </c>
      <c r="C23" s="21" t="s">
        <v>57</v>
      </c>
      <c r="E23" s="11" t="s">
        <v>46</v>
      </c>
      <c r="F23" s="12">
        <f>SUM(F3:F22)</f>
        <v>1190.003</v>
      </c>
    </row>
    <row r="24" ht="14.25" customHeight="1">
      <c r="A24" s="21" t="s">
        <v>33</v>
      </c>
      <c r="B24" s="19">
        <v>20.0</v>
      </c>
      <c r="C24" s="19" t="s">
        <v>449</v>
      </c>
    </row>
    <row r="25" ht="14.25" customHeight="1">
      <c r="A25" s="21" t="s">
        <v>126</v>
      </c>
      <c r="B25" s="19">
        <v>40.0</v>
      </c>
      <c r="C25" s="21" t="s">
        <v>663</v>
      </c>
    </row>
    <row r="26" ht="14.25" customHeight="1">
      <c r="A26" s="21" t="s">
        <v>664</v>
      </c>
      <c r="B26" s="19">
        <v>20.0</v>
      </c>
      <c r="C26" s="21" t="s">
        <v>660</v>
      </c>
    </row>
    <row r="27" ht="14.25" customHeight="1">
      <c r="A27" s="21" t="s">
        <v>116</v>
      </c>
      <c r="B27" s="19">
        <v>-30.0</v>
      </c>
      <c r="C27" s="21" t="s">
        <v>660</v>
      </c>
    </row>
    <row r="28" ht="14.25" customHeight="1">
      <c r="A28" s="21" t="s">
        <v>544</v>
      </c>
      <c r="B28" s="19">
        <v>20.0</v>
      </c>
      <c r="C28" s="21" t="s">
        <v>660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1378.72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665</v>
      </c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1378.7200000000003</v>
      </c>
      <c r="C3" s="14" t="s">
        <v>666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/>
    </row>
    <row r="4" ht="14.25" customHeight="1">
      <c r="A4" s="21" t="s">
        <v>19</v>
      </c>
      <c r="B4" s="19">
        <v>90.0</v>
      </c>
      <c r="C4" s="21" t="s">
        <v>57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39</v>
      </c>
      <c r="B5" s="19">
        <v>90.0</v>
      </c>
      <c r="C5" s="21" t="s">
        <v>161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95</v>
      </c>
      <c r="K5" s="16" t="s">
        <v>20</v>
      </c>
    </row>
    <row r="6" ht="14.25" customHeight="1">
      <c r="A6" s="21" t="s">
        <v>356</v>
      </c>
      <c r="B6" s="19">
        <v>90.0</v>
      </c>
      <c r="C6" s="21" t="s">
        <v>161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522</v>
      </c>
      <c r="B7" s="19">
        <v>20.0</v>
      </c>
      <c r="C7" s="21" t="s">
        <v>660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668</v>
      </c>
      <c r="B8" s="19">
        <v>90.0</v>
      </c>
      <c r="C8" s="21" t="s">
        <v>71</v>
      </c>
      <c r="E8" s="21" t="s">
        <v>56</v>
      </c>
      <c r="F8" s="19">
        <v>20.0</v>
      </c>
      <c r="G8" s="21" t="s">
        <v>577</v>
      </c>
      <c r="I8" s="11">
        <v>6.0</v>
      </c>
      <c r="J8" s="16" t="s">
        <v>562</v>
      </c>
      <c r="K8" s="16" t="s">
        <v>210</v>
      </c>
    </row>
    <row r="9" ht="14.25" customHeight="1">
      <c r="A9" s="21" t="s">
        <v>53</v>
      </c>
      <c r="B9" s="19">
        <v>90.0</v>
      </c>
      <c r="C9" s="21" t="s">
        <v>161</v>
      </c>
      <c r="E9" s="21" t="s">
        <v>213</v>
      </c>
      <c r="F9" s="19">
        <v>20.0</v>
      </c>
      <c r="G9" s="21" t="s">
        <v>617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261</v>
      </c>
      <c r="B10" s="19">
        <v>20.0</v>
      </c>
      <c r="C10" s="21" t="s">
        <v>655</v>
      </c>
      <c r="E10" s="21" t="s">
        <v>37</v>
      </c>
      <c r="F10" s="19">
        <v>60.0</v>
      </c>
      <c r="G10" s="19" t="s">
        <v>669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42</v>
      </c>
      <c r="B11" s="19">
        <v>180.0</v>
      </c>
      <c r="C11" s="21" t="s">
        <v>465</v>
      </c>
      <c r="E11" s="21" t="s">
        <v>657</v>
      </c>
      <c r="F11" s="19">
        <v>20.0</v>
      </c>
      <c r="G11" s="21" t="s">
        <v>655</v>
      </c>
      <c r="I11" s="11">
        <v>9.0</v>
      </c>
      <c r="J11" s="29" t="s">
        <v>269</v>
      </c>
      <c r="K11" s="16"/>
    </row>
    <row r="12" ht="14.25" customHeight="1">
      <c r="A12" s="21" t="s">
        <v>651</v>
      </c>
      <c r="B12" s="19">
        <v>40.0</v>
      </c>
      <c r="C12" s="19" t="s">
        <v>652</v>
      </c>
      <c r="E12" s="21" t="s">
        <v>26</v>
      </c>
      <c r="F12" s="19">
        <v>90.0</v>
      </c>
      <c r="G12" s="21" t="s">
        <v>161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544</v>
      </c>
      <c r="B13" s="19">
        <v>90.0</v>
      </c>
      <c r="C13" s="21" t="s">
        <v>161</v>
      </c>
      <c r="E13" s="21" t="s">
        <v>269</v>
      </c>
      <c r="F13" s="19">
        <v>90.0</v>
      </c>
      <c r="G13" s="21" t="s">
        <v>161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670</v>
      </c>
      <c r="E14" s="21" t="s">
        <v>19</v>
      </c>
      <c r="F14" s="19">
        <v>90.0</v>
      </c>
      <c r="G14" s="21" t="s">
        <v>161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60</v>
      </c>
      <c r="B15" s="19">
        <v>90.0</v>
      </c>
      <c r="C15" s="21" t="s">
        <v>161</v>
      </c>
      <c r="D15" s="39"/>
      <c r="E15" s="21" t="s">
        <v>43</v>
      </c>
      <c r="F15" s="19">
        <v>60.0</v>
      </c>
      <c r="G15" s="21" t="s">
        <v>671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126</v>
      </c>
      <c r="B16" s="19">
        <v>20.0</v>
      </c>
      <c r="C16" s="21" t="s">
        <v>672</v>
      </c>
      <c r="E16" s="21" t="s">
        <v>673</v>
      </c>
      <c r="F16" s="19">
        <v>20.0</v>
      </c>
      <c r="G16" s="21" t="s">
        <v>674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97</v>
      </c>
      <c r="B17" s="19">
        <v>90.0</v>
      </c>
      <c r="C17" s="21" t="s">
        <v>161</v>
      </c>
      <c r="E17" s="21" t="s">
        <v>126</v>
      </c>
      <c r="F17" s="19">
        <v>20.0</v>
      </c>
      <c r="G17" s="21" t="s">
        <v>675</v>
      </c>
    </row>
    <row r="18" ht="14.25" customHeight="1">
      <c r="A18" s="21" t="s">
        <v>69</v>
      </c>
      <c r="B18" s="19">
        <v>-290.0</v>
      </c>
      <c r="C18" s="19" t="s">
        <v>676</v>
      </c>
      <c r="E18" s="21" t="s">
        <v>677</v>
      </c>
      <c r="F18" s="19">
        <v>20.0</v>
      </c>
      <c r="G18" s="21" t="s">
        <v>675</v>
      </c>
    </row>
    <row r="19" ht="14.25" customHeight="1">
      <c r="A19" s="21" t="s">
        <v>260</v>
      </c>
      <c r="B19" s="19">
        <v>40.0</v>
      </c>
      <c r="C19" s="21" t="s">
        <v>678</v>
      </c>
      <c r="E19" s="21" t="s">
        <v>33</v>
      </c>
      <c r="F19" s="19">
        <v>20.0</v>
      </c>
      <c r="G19" s="21" t="s">
        <v>675</v>
      </c>
    </row>
    <row r="20" ht="14.25" customHeight="1">
      <c r="A20" s="21" t="s">
        <v>365</v>
      </c>
      <c r="B20" s="19">
        <v>90.0</v>
      </c>
      <c r="C20" s="21" t="s">
        <v>161</v>
      </c>
      <c r="E20" s="21"/>
      <c r="F20" s="19"/>
      <c r="G20" s="21"/>
    </row>
    <row r="21" ht="14.25" customHeight="1">
      <c r="A21" s="21" t="s">
        <v>95</v>
      </c>
      <c r="B21" s="19">
        <v>180.0</v>
      </c>
      <c r="C21" s="21" t="s">
        <v>465</v>
      </c>
    </row>
    <row r="22" ht="14.25" customHeight="1">
      <c r="A22" s="21" t="s">
        <v>208</v>
      </c>
      <c r="B22" s="19">
        <v>90.0</v>
      </c>
      <c r="C22" s="21" t="s">
        <v>161</v>
      </c>
    </row>
    <row r="23" ht="14.25" customHeight="1">
      <c r="A23" s="21" t="s">
        <v>281</v>
      </c>
      <c r="B23" s="19">
        <v>-30.0</v>
      </c>
      <c r="C23" s="21" t="s">
        <v>679</v>
      </c>
      <c r="E23" s="11" t="s">
        <v>46</v>
      </c>
      <c r="F23" s="12">
        <f>SUM(F3:F22)</f>
        <v>820.003</v>
      </c>
    </row>
    <row r="24" ht="14.25" customHeight="1">
      <c r="A24" s="21" t="s">
        <v>601</v>
      </c>
      <c r="B24" s="19">
        <v>-60.0</v>
      </c>
      <c r="C24" s="19" t="s">
        <v>601</v>
      </c>
    </row>
    <row r="25" ht="14.25" customHeight="1">
      <c r="A25" s="21" t="s">
        <v>269</v>
      </c>
      <c r="B25" s="19">
        <v>90.0</v>
      </c>
      <c r="C25" s="21" t="s">
        <v>57</v>
      </c>
    </row>
    <row r="26" ht="14.25" customHeight="1">
      <c r="A26" s="21" t="s">
        <v>680</v>
      </c>
      <c r="B26" s="19">
        <v>20.0</v>
      </c>
      <c r="C26" s="21" t="s">
        <v>675</v>
      </c>
    </row>
    <row r="27" ht="14.25" customHeight="1">
      <c r="A27" s="21" t="s">
        <v>26</v>
      </c>
      <c r="B27" s="19">
        <v>90.0</v>
      </c>
      <c r="C27" s="21" t="s">
        <v>57</v>
      </c>
    </row>
    <row r="28" ht="14.25" customHeight="1">
      <c r="A28" s="21" t="s">
        <v>116</v>
      </c>
      <c r="B28" s="19">
        <v>-30.0</v>
      </c>
      <c r="C28" s="21" t="s">
        <v>675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1518.72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681</v>
      </c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1518.7200000000003</v>
      </c>
      <c r="C3" s="14" t="s">
        <v>682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/>
    </row>
    <row r="4" ht="14.25" customHeight="1">
      <c r="A4" s="21" t="s">
        <v>356</v>
      </c>
      <c r="B4" s="19">
        <v>90.0</v>
      </c>
      <c r="C4" s="21" t="s">
        <v>683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53</v>
      </c>
      <c r="B5" s="19">
        <v>90.0</v>
      </c>
      <c r="C5" s="21" t="s">
        <v>683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260</v>
      </c>
      <c r="K5" s="16" t="s">
        <v>20</v>
      </c>
    </row>
    <row r="6" ht="14.25" customHeight="1">
      <c r="A6" s="21" t="s">
        <v>677</v>
      </c>
      <c r="B6" s="19">
        <v>110.0</v>
      </c>
      <c r="C6" s="21" t="s">
        <v>684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39</v>
      </c>
      <c r="B7" s="19">
        <v>90.0</v>
      </c>
      <c r="C7" s="21" t="s">
        <v>683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126</v>
      </c>
      <c r="B8" s="19">
        <v>20.0</v>
      </c>
      <c r="C8" s="21" t="s">
        <v>675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56</v>
      </c>
      <c r="B9" s="19">
        <v>60.0</v>
      </c>
      <c r="C9" s="21" t="s">
        <v>686</v>
      </c>
      <c r="E9" s="21" t="s">
        <v>37</v>
      </c>
      <c r="F9" s="19">
        <v>60.0</v>
      </c>
      <c r="G9" s="19" t="s">
        <v>669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26</v>
      </c>
      <c r="B10" s="19">
        <v>90.0</v>
      </c>
      <c r="C10" s="21" t="s">
        <v>161</v>
      </c>
      <c r="E10" s="21" t="s">
        <v>657</v>
      </c>
      <c r="F10" s="19">
        <v>20.0</v>
      </c>
      <c r="G10" s="21" t="s">
        <v>655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350</v>
      </c>
      <c r="B11" s="19">
        <v>-30.0</v>
      </c>
      <c r="C11" s="21" t="s">
        <v>688</v>
      </c>
      <c r="E11" s="21" t="s">
        <v>269</v>
      </c>
      <c r="F11" s="19">
        <v>180.0</v>
      </c>
      <c r="G11" s="21" t="s">
        <v>252</v>
      </c>
      <c r="I11" s="11">
        <v>9.0</v>
      </c>
      <c r="J11" s="29" t="s">
        <v>269</v>
      </c>
      <c r="K11" s="16"/>
    </row>
    <row r="12" ht="14.25" customHeight="1">
      <c r="A12" s="21" t="s">
        <v>601</v>
      </c>
      <c r="B12" s="19">
        <v>-30.0</v>
      </c>
      <c r="C12" s="21" t="s">
        <v>688</v>
      </c>
      <c r="E12" s="21" t="s">
        <v>19</v>
      </c>
      <c r="F12" s="19">
        <v>180.0</v>
      </c>
      <c r="G12" s="21" t="s">
        <v>252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689</v>
      </c>
      <c r="B13" s="19">
        <v>-300.0</v>
      </c>
      <c r="C13" s="21" t="s">
        <v>364</v>
      </c>
      <c r="E13" s="21" t="s">
        <v>673</v>
      </c>
      <c r="F13" s="19">
        <v>20.0</v>
      </c>
      <c r="G13" s="21" t="s">
        <v>674</v>
      </c>
      <c r="I13" s="11">
        <v>11.0</v>
      </c>
      <c r="J13" s="20" t="s">
        <v>97</v>
      </c>
      <c r="K13" s="16" t="s">
        <v>210</v>
      </c>
    </row>
    <row r="14" ht="14.25" customHeight="1">
      <c r="A14" s="34" t="s">
        <v>77</v>
      </c>
      <c r="B14" s="38">
        <v>-1050.0</v>
      </c>
      <c r="C14" s="34" t="s">
        <v>690</v>
      </c>
      <c r="E14" s="21" t="s">
        <v>95</v>
      </c>
      <c r="F14" s="19">
        <v>20.0</v>
      </c>
      <c r="G14" s="21" t="s">
        <v>688</v>
      </c>
      <c r="I14" s="11">
        <v>12.0</v>
      </c>
      <c r="J14" s="11" t="s">
        <v>42</v>
      </c>
      <c r="K14" s="16"/>
    </row>
    <row r="15" ht="14.25" customHeight="1">
      <c r="A15" s="21" t="s">
        <v>601</v>
      </c>
      <c r="B15" s="19">
        <v>-30.0</v>
      </c>
      <c r="C15" s="21" t="s">
        <v>692</v>
      </c>
      <c r="D15" s="39"/>
      <c r="E15" s="21" t="s">
        <v>26</v>
      </c>
      <c r="F15" s="19">
        <v>90.0</v>
      </c>
      <c r="G15" s="21" t="s">
        <v>683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693</v>
      </c>
      <c r="B16" s="19">
        <v>-30.0</v>
      </c>
      <c r="C16" s="21" t="s">
        <v>694</v>
      </c>
      <c r="E16" s="21" t="s">
        <v>42</v>
      </c>
      <c r="F16" s="19">
        <v>90.0</v>
      </c>
      <c r="G16" s="21" t="s">
        <v>683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33</v>
      </c>
      <c r="B17" s="19">
        <v>40.0</v>
      </c>
      <c r="C17" s="21" t="s">
        <v>696</v>
      </c>
      <c r="E17" s="21"/>
      <c r="F17" s="19"/>
      <c r="G17" s="21"/>
    </row>
    <row r="18" ht="14.25" customHeight="1">
      <c r="A18" s="21" t="s">
        <v>697</v>
      </c>
      <c r="B18" s="19">
        <v>20.0</v>
      </c>
      <c r="C18" s="21" t="s">
        <v>694</v>
      </c>
    </row>
    <row r="19" ht="14.25" customHeight="1">
      <c r="A19" s="21" t="s">
        <v>698</v>
      </c>
      <c r="B19" s="19">
        <v>20.0</v>
      </c>
      <c r="C19" s="21" t="s">
        <v>694</v>
      </c>
    </row>
    <row r="20" ht="14.25" customHeight="1">
      <c r="A20" s="21" t="s">
        <v>544</v>
      </c>
      <c r="B20" s="19">
        <v>90.0</v>
      </c>
      <c r="C20" s="21" t="s">
        <v>683</v>
      </c>
    </row>
    <row r="21" ht="14.25" customHeight="1">
      <c r="A21" s="21" t="s">
        <v>208</v>
      </c>
      <c r="B21" s="19">
        <v>90.0</v>
      </c>
      <c r="C21" s="21" t="s">
        <v>683</v>
      </c>
    </row>
    <row r="22" ht="14.25" customHeight="1">
      <c r="A22" s="21" t="s">
        <v>350</v>
      </c>
      <c r="B22" s="19">
        <v>-30.0</v>
      </c>
      <c r="C22" s="21" t="s">
        <v>700</v>
      </c>
    </row>
    <row r="23" ht="14.25" customHeight="1">
      <c r="A23" s="21" t="s">
        <v>601</v>
      </c>
      <c r="B23" s="19">
        <v>-30.0</v>
      </c>
      <c r="C23" s="21" t="s">
        <v>700</v>
      </c>
    </row>
    <row r="24" ht="14.25" customHeight="1">
      <c r="A24" s="21" t="s">
        <v>365</v>
      </c>
      <c r="B24" s="19">
        <v>90.0</v>
      </c>
      <c r="C24" s="21" t="s">
        <v>683</v>
      </c>
      <c r="E24" s="11" t="s">
        <v>46</v>
      </c>
      <c r="F24" s="12">
        <f>SUM(F3:F23)</f>
        <v>990.003</v>
      </c>
    </row>
    <row r="25" ht="14.25" customHeight="1">
      <c r="A25" s="21" t="s">
        <v>60</v>
      </c>
      <c r="B25" s="19">
        <v>90.0</v>
      </c>
      <c r="C25" s="21" t="s">
        <v>683</v>
      </c>
    </row>
    <row r="26" ht="14.25" customHeight="1">
      <c r="A26" s="21" t="s">
        <v>435</v>
      </c>
      <c r="B26" s="19">
        <v>40.0</v>
      </c>
      <c r="C26" s="21" t="s">
        <v>705</v>
      </c>
    </row>
    <row r="27" ht="14.25" customHeight="1">
      <c r="A27" s="21" t="s">
        <v>43</v>
      </c>
      <c r="B27" s="19">
        <v>150.0</v>
      </c>
      <c r="C27" s="21" t="s">
        <v>706</v>
      </c>
    </row>
    <row r="28" ht="14.25" customHeight="1">
      <c r="A28" s="21" t="s">
        <v>97</v>
      </c>
      <c r="B28" s="19">
        <v>40.0</v>
      </c>
      <c r="C28" s="21" t="s">
        <v>683</v>
      </c>
    </row>
    <row r="29" ht="14.25" customHeight="1">
      <c r="A29" s="21" t="s">
        <v>100</v>
      </c>
      <c r="B29" s="19">
        <v>20.0</v>
      </c>
      <c r="C29" s="21" t="s">
        <v>688</v>
      </c>
    </row>
    <row r="30" ht="14.25" customHeight="1">
      <c r="A30" s="21" t="s">
        <v>589</v>
      </c>
      <c r="B30" s="19">
        <v>20.0</v>
      </c>
      <c r="C30" s="21" t="s">
        <v>700</v>
      </c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1248.72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687</v>
      </c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1248.7200000000003</v>
      </c>
      <c r="C3" s="14" t="s">
        <v>691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42</v>
      </c>
      <c r="B4" s="19">
        <v>180.0</v>
      </c>
      <c r="C4" s="21" t="s">
        <v>695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19</v>
      </c>
      <c r="B5" s="19">
        <v>270.0</v>
      </c>
      <c r="C5" s="21" t="s">
        <v>699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260</v>
      </c>
      <c r="K5" s="16" t="s">
        <v>20</v>
      </c>
    </row>
    <row r="6" ht="14.25" customHeight="1">
      <c r="A6" s="21" t="s">
        <v>544</v>
      </c>
      <c r="B6" s="19">
        <v>90.0</v>
      </c>
      <c r="C6" s="21" t="s">
        <v>211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/>
    </row>
    <row r="7" ht="14.25" customHeight="1">
      <c r="A7" s="21" t="s">
        <v>702</v>
      </c>
      <c r="B7" s="19">
        <v>20.0</v>
      </c>
      <c r="C7" s="21" t="s">
        <v>703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704</v>
      </c>
      <c r="B8" s="19">
        <v>20.0</v>
      </c>
      <c r="C8" s="21" t="s">
        <v>703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39</v>
      </c>
      <c r="B9" s="19">
        <v>90.0</v>
      </c>
      <c r="C9" s="21" t="s">
        <v>211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350</v>
      </c>
      <c r="B10" s="19">
        <v>-30.0</v>
      </c>
      <c r="C10" s="21" t="s">
        <v>703</v>
      </c>
      <c r="E10" s="21" t="s">
        <v>657</v>
      </c>
      <c r="F10" s="19">
        <v>20.0</v>
      </c>
      <c r="G10" s="21" t="s">
        <v>655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601</v>
      </c>
      <c r="B11" s="19">
        <v>-30.0</v>
      </c>
      <c r="C11" s="21" t="s">
        <v>703</v>
      </c>
      <c r="E11" s="21" t="s">
        <v>673</v>
      </c>
      <c r="F11" s="19">
        <v>20.0</v>
      </c>
      <c r="G11" s="21" t="s">
        <v>674</v>
      </c>
      <c r="I11" s="11">
        <v>9.0</v>
      </c>
      <c r="J11" s="29" t="s">
        <v>269</v>
      </c>
      <c r="K11" s="16"/>
    </row>
    <row r="12" ht="14.25" customHeight="1">
      <c r="A12" s="21" t="s">
        <v>260</v>
      </c>
      <c r="B12" s="19">
        <v>90.0</v>
      </c>
      <c r="C12" s="21" t="s">
        <v>211</v>
      </c>
      <c r="E12" s="21" t="s">
        <v>95</v>
      </c>
      <c r="F12" s="19">
        <v>40.0</v>
      </c>
      <c r="G12" s="21" t="s">
        <v>711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53</v>
      </c>
      <c r="B13" s="19">
        <v>90.0</v>
      </c>
      <c r="C13" s="21" t="s">
        <v>211</v>
      </c>
      <c r="E13" s="21" t="s">
        <v>714</v>
      </c>
      <c r="F13" s="19">
        <v>20.0</v>
      </c>
      <c r="G13" s="21" t="s">
        <v>715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716</v>
      </c>
      <c r="E14" s="21" t="s">
        <v>269</v>
      </c>
      <c r="F14" s="19">
        <v>90.0</v>
      </c>
      <c r="G14" s="21" t="s">
        <v>211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717</v>
      </c>
      <c r="B15" s="19">
        <v>20.0</v>
      </c>
      <c r="C15" s="21" t="s">
        <v>703</v>
      </c>
      <c r="D15" s="39"/>
      <c r="E15" s="21" t="s">
        <v>365</v>
      </c>
      <c r="F15" s="19">
        <v>90.0</v>
      </c>
      <c r="G15" s="21" t="s">
        <v>211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43</v>
      </c>
      <c r="B16" s="19">
        <v>90.0</v>
      </c>
      <c r="C16" s="21" t="s">
        <v>211</v>
      </c>
      <c r="E16" s="21" t="s">
        <v>709</v>
      </c>
      <c r="F16" s="19">
        <v>20.0</v>
      </c>
      <c r="G16" s="21" t="s">
        <v>710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95</v>
      </c>
      <c r="B17" s="19">
        <v>40.0</v>
      </c>
      <c r="C17" s="21" t="s">
        <v>721</v>
      </c>
    </row>
    <row r="18" ht="14.25" customHeight="1">
      <c r="A18" s="21" t="s">
        <v>97</v>
      </c>
      <c r="B18" s="19">
        <v>90.0</v>
      </c>
      <c r="C18" s="21" t="s">
        <v>211</v>
      </c>
    </row>
    <row r="19" ht="14.25" customHeight="1">
      <c r="A19" s="21" t="s">
        <v>269</v>
      </c>
      <c r="B19" s="19">
        <v>180.0</v>
      </c>
      <c r="C19" s="21" t="s">
        <v>252</v>
      </c>
    </row>
    <row r="20" ht="14.25" customHeight="1">
      <c r="A20" s="21" t="s">
        <v>709</v>
      </c>
      <c r="B20" s="19">
        <v>20.0</v>
      </c>
      <c r="C20" s="21" t="s">
        <v>724</v>
      </c>
    </row>
    <row r="21" ht="14.25" customHeight="1">
      <c r="A21" s="21" t="s">
        <v>208</v>
      </c>
      <c r="B21" s="19">
        <v>90.0</v>
      </c>
      <c r="C21" s="21" t="s">
        <v>211</v>
      </c>
    </row>
    <row r="22" ht="14.25" customHeight="1">
      <c r="A22" s="21" t="s">
        <v>261</v>
      </c>
      <c r="B22" s="19">
        <v>20.0</v>
      </c>
      <c r="C22" s="21" t="s">
        <v>715</v>
      </c>
    </row>
    <row r="23" ht="14.25" customHeight="1">
      <c r="A23" s="21" t="s">
        <v>709</v>
      </c>
      <c r="B23" s="19">
        <v>20.0</v>
      </c>
      <c r="C23" s="21" t="s">
        <v>715</v>
      </c>
    </row>
    <row r="24" ht="14.25" customHeight="1">
      <c r="A24" s="21" t="s">
        <v>356</v>
      </c>
      <c r="B24" s="19">
        <v>90.0</v>
      </c>
      <c r="C24" s="21" t="s">
        <v>211</v>
      </c>
      <c r="E24" s="11" t="s">
        <v>46</v>
      </c>
      <c r="F24" s="12">
        <f>SUM(F3:F12)</f>
        <v>490.003</v>
      </c>
    </row>
    <row r="25" ht="14.25" customHeight="1">
      <c r="A25" s="21" t="s">
        <v>350</v>
      </c>
      <c r="B25" s="19">
        <v>-30.0</v>
      </c>
      <c r="C25" s="21" t="s">
        <v>715</v>
      </c>
    </row>
    <row r="26" ht="14.25" customHeight="1">
      <c r="A26" s="21" t="s">
        <v>601</v>
      </c>
      <c r="B26" s="19">
        <v>-30.0</v>
      </c>
      <c r="C26" s="21" t="s">
        <v>715</v>
      </c>
    </row>
    <row r="27" ht="14.25" customHeight="1">
      <c r="A27" s="21" t="s">
        <v>187</v>
      </c>
      <c r="B27" s="19">
        <v>20.0</v>
      </c>
      <c r="C27" s="21" t="s">
        <v>715</v>
      </c>
    </row>
    <row r="28" ht="14.25" customHeight="1">
      <c r="A28" s="21" t="s">
        <v>26</v>
      </c>
      <c r="B28" s="19">
        <v>170.0</v>
      </c>
      <c r="C28" s="21" t="s">
        <v>695</v>
      </c>
    </row>
    <row r="29" ht="14.25" customHeight="1">
      <c r="A29" s="21" t="s">
        <v>60</v>
      </c>
      <c r="B29" s="19">
        <v>90.0</v>
      </c>
      <c r="C29" s="21" t="s">
        <v>211</v>
      </c>
    </row>
    <row r="30" ht="14.25" customHeight="1">
      <c r="A30" s="21" t="s">
        <v>53</v>
      </c>
      <c r="B30" s="19">
        <v>-340.0</v>
      </c>
      <c r="C30" s="21" t="s">
        <v>364</v>
      </c>
    </row>
    <row r="31" ht="14.25" customHeight="1">
      <c r="A31" s="21" t="s">
        <v>126</v>
      </c>
      <c r="B31" s="19">
        <v>40.0</v>
      </c>
      <c r="C31" s="21" t="s">
        <v>711</v>
      </c>
    </row>
    <row r="32" ht="14.25" customHeight="1">
      <c r="A32" s="21" t="s">
        <v>601</v>
      </c>
      <c r="B32" s="19">
        <v>-30.0</v>
      </c>
      <c r="C32" s="21" t="s">
        <v>710</v>
      </c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1538.72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701</v>
      </c>
      <c r="B1" s="2"/>
      <c r="C1" s="3"/>
      <c r="E1" s="4" t="s">
        <v>1</v>
      </c>
      <c r="F1" s="2"/>
      <c r="G1" s="3"/>
      <c r="I1" s="1" t="s">
        <v>194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1538.7200000000003</v>
      </c>
      <c r="C3" s="14" t="s">
        <v>707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709</v>
      </c>
      <c r="B4" s="19">
        <v>20.0</v>
      </c>
      <c r="C4" s="21" t="s">
        <v>710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356</v>
      </c>
      <c r="B5" s="19">
        <v>90.0</v>
      </c>
      <c r="C5" s="21" t="s">
        <v>202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260</v>
      </c>
      <c r="K5" s="16" t="s">
        <v>20</v>
      </c>
    </row>
    <row r="6" ht="14.25" customHeight="1">
      <c r="A6" s="21" t="s">
        <v>19</v>
      </c>
      <c r="B6" s="19">
        <v>90.0</v>
      </c>
      <c r="C6" s="21" t="s">
        <v>202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/>
    </row>
    <row r="7" ht="14.25" customHeight="1">
      <c r="A7" s="21" t="s">
        <v>116</v>
      </c>
      <c r="B7" s="19">
        <v>-30.0</v>
      </c>
      <c r="C7" s="21" t="s">
        <v>712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713</v>
      </c>
      <c r="B8" s="19">
        <v>-260.0</v>
      </c>
      <c r="C8" s="21" t="s">
        <v>364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534</v>
      </c>
      <c r="B9" s="19">
        <v>-80.0</v>
      </c>
      <c r="C9" s="21" t="s">
        <v>201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53</v>
      </c>
      <c r="B10" s="19">
        <v>90.0</v>
      </c>
      <c r="C10" s="21" t="s">
        <v>202</v>
      </c>
      <c r="E10" s="21" t="s">
        <v>657</v>
      </c>
      <c r="F10" s="19">
        <v>20.0</v>
      </c>
      <c r="G10" s="21" t="s">
        <v>655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365</v>
      </c>
      <c r="B11" s="19">
        <v>90.0</v>
      </c>
      <c r="C11" s="21" t="s">
        <v>211</v>
      </c>
      <c r="E11" s="21" t="s">
        <v>673</v>
      </c>
      <c r="F11" s="19">
        <v>20.0</v>
      </c>
      <c r="G11" s="21" t="s">
        <v>674</v>
      </c>
      <c r="I11" s="11">
        <v>9.0</v>
      </c>
      <c r="J11" s="29" t="s">
        <v>269</v>
      </c>
      <c r="K11" s="16"/>
    </row>
    <row r="12" ht="14.25" customHeight="1">
      <c r="A12" s="21" t="s">
        <v>718</v>
      </c>
      <c r="B12" s="19">
        <v>20.0</v>
      </c>
      <c r="C12" s="21" t="s">
        <v>712</v>
      </c>
      <c r="E12" s="21" t="s">
        <v>714</v>
      </c>
      <c r="F12" s="19">
        <v>40.0</v>
      </c>
      <c r="G12" s="21" t="s">
        <v>719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41</v>
      </c>
      <c r="B13" s="19">
        <v>20.0</v>
      </c>
      <c r="C13" s="21" t="s">
        <v>712</v>
      </c>
      <c r="E13" s="21" t="s">
        <v>269</v>
      </c>
      <c r="F13" s="19">
        <v>180.0</v>
      </c>
      <c r="G13" s="21" t="s">
        <v>720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722</v>
      </c>
      <c r="E14" s="21" t="s">
        <v>365</v>
      </c>
      <c r="F14" s="19">
        <v>90.0</v>
      </c>
      <c r="G14" s="21" t="s">
        <v>202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723</v>
      </c>
      <c r="B15" s="19">
        <v>90.0</v>
      </c>
      <c r="C15" s="21" t="s">
        <v>202</v>
      </c>
      <c r="D15" s="39"/>
      <c r="E15" s="21" t="s">
        <v>126</v>
      </c>
      <c r="F15" s="19">
        <v>20.0</v>
      </c>
      <c r="G15" s="21" t="s">
        <v>725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39</v>
      </c>
      <c r="B16" s="19">
        <v>90.0</v>
      </c>
      <c r="C16" s="21" t="s">
        <v>202</v>
      </c>
      <c r="E16" s="21" t="s">
        <v>41</v>
      </c>
      <c r="F16" s="19">
        <v>20.0</v>
      </c>
      <c r="G16" s="21" t="s">
        <v>726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95</v>
      </c>
      <c r="B17" s="19">
        <v>60.0</v>
      </c>
      <c r="C17" s="21" t="s">
        <v>727</v>
      </c>
      <c r="E17" s="21" t="s">
        <v>709</v>
      </c>
      <c r="F17" s="19">
        <v>20.0</v>
      </c>
      <c r="G17" s="21" t="s">
        <v>726</v>
      </c>
    </row>
    <row r="18" ht="14.25" customHeight="1">
      <c r="A18" s="21" t="s">
        <v>709</v>
      </c>
      <c r="B18" s="19">
        <v>20.0</v>
      </c>
      <c r="C18" s="21" t="s">
        <v>712</v>
      </c>
      <c r="E18" s="21" t="s">
        <v>348</v>
      </c>
      <c r="F18" s="19">
        <v>20.0</v>
      </c>
      <c r="G18" s="21" t="s">
        <v>726</v>
      </c>
    </row>
    <row r="19" ht="14.25" customHeight="1">
      <c r="A19" s="21" t="s">
        <v>544</v>
      </c>
      <c r="B19" s="19">
        <v>90.0</v>
      </c>
      <c r="C19" s="21" t="s">
        <v>202</v>
      </c>
    </row>
    <row r="20" ht="14.25" customHeight="1">
      <c r="A20" s="21" t="s">
        <v>341</v>
      </c>
      <c r="B20" s="19">
        <v>20.0</v>
      </c>
      <c r="C20" s="21" t="s">
        <v>728</v>
      </c>
    </row>
    <row r="21" ht="14.25" customHeight="1">
      <c r="A21" s="21" t="s">
        <v>729</v>
      </c>
      <c r="B21" s="19">
        <v>-30.0</v>
      </c>
      <c r="C21" s="21" t="s">
        <v>728</v>
      </c>
    </row>
    <row r="22" ht="14.25" customHeight="1">
      <c r="A22" s="21" t="s">
        <v>709</v>
      </c>
      <c r="B22" s="19">
        <v>20.0</v>
      </c>
      <c r="C22" s="21" t="s">
        <v>712</v>
      </c>
    </row>
    <row r="23" ht="14.25" customHeight="1">
      <c r="A23" s="21" t="s">
        <v>243</v>
      </c>
      <c r="B23" s="19">
        <v>20.0</v>
      </c>
      <c r="C23" s="21" t="s">
        <v>728</v>
      </c>
      <c r="E23" s="11" t="s">
        <v>46</v>
      </c>
      <c r="F23" s="12">
        <f>SUM(F3:F22)</f>
        <v>840.003</v>
      </c>
    </row>
    <row r="24" ht="14.25" customHeight="1">
      <c r="A24" s="21" t="s">
        <v>97</v>
      </c>
      <c r="B24" s="19">
        <v>90.0</v>
      </c>
      <c r="C24" s="21" t="s">
        <v>202</v>
      </c>
    </row>
    <row r="25" ht="14.25" customHeight="1">
      <c r="A25" s="21" t="s">
        <v>26</v>
      </c>
      <c r="B25" s="19">
        <v>90.0</v>
      </c>
      <c r="C25" s="21" t="s">
        <v>202</v>
      </c>
    </row>
    <row r="26" ht="14.25" customHeight="1">
      <c r="A26" s="21" t="s">
        <v>730</v>
      </c>
      <c r="B26" s="19">
        <v>90.0</v>
      </c>
      <c r="C26" s="21" t="s">
        <v>202</v>
      </c>
    </row>
    <row r="27" ht="14.25" customHeight="1">
      <c r="A27" s="21" t="s">
        <v>341</v>
      </c>
      <c r="B27" s="19">
        <v>20.0</v>
      </c>
      <c r="C27" s="21" t="s">
        <v>725</v>
      </c>
    </row>
    <row r="28" ht="14.25" customHeight="1">
      <c r="A28" s="21" t="s">
        <v>348</v>
      </c>
      <c r="B28" s="19">
        <v>20.0</v>
      </c>
      <c r="C28" s="21" t="s">
        <v>725</v>
      </c>
    </row>
    <row r="29" ht="14.25" customHeight="1">
      <c r="A29" s="21" t="s">
        <v>126</v>
      </c>
      <c r="B29" s="19">
        <v>20.0</v>
      </c>
      <c r="C29" s="21" t="s">
        <v>731</v>
      </c>
    </row>
    <row r="30" ht="14.25" customHeight="1">
      <c r="A30" s="21" t="s">
        <v>348</v>
      </c>
      <c r="B30" s="19">
        <v>20.0</v>
      </c>
      <c r="C30" s="21" t="s">
        <v>731</v>
      </c>
    </row>
    <row r="31" ht="14.25" customHeight="1">
      <c r="A31" s="21" t="s">
        <v>116</v>
      </c>
      <c r="B31" s="19">
        <v>-30.0</v>
      </c>
      <c r="C31" s="21" t="s">
        <v>731</v>
      </c>
    </row>
    <row r="32" ht="14.25" customHeight="1">
      <c r="A32" s="21" t="s">
        <v>42</v>
      </c>
      <c r="B32" s="19">
        <v>90.0</v>
      </c>
      <c r="C32" s="21" t="s">
        <v>202</v>
      </c>
    </row>
    <row r="33" ht="14.25" customHeight="1">
      <c r="A33" s="21" t="s">
        <v>709</v>
      </c>
      <c r="B33" s="19">
        <v>20.0</v>
      </c>
      <c r="C33" s="21" t="s">
        <v>725</v>
      </c>
    </row>
    <row r="34" ht="14.25" customHeight="1">
      <c r="A34" s="21" t="s">
        <v>43</v>
      </c>
      <c r="B34" s="19">
        <v>90.0</v>
      </c>
      <c r="C34" s="21" t="s">
        <v>202</v>
      </c>
    </row>
    <row r="35" ht="14.25" customHeight="1">
      <c r="A35" s="21" t="s">
        <v>95</v>
      </c>
      <c r="B35" s="19">
        <v>20.0</v>
      </c>
      <c r="C35" s="21" t="s">
        <v>731</v>
      </c>
    </row>
    <row r="36" ht="14.25" customHeight="1">
      <c r="A36" s="21" t="s">
        <v>60</v>
      </c>
      <c r="B36" s="19">
        <v>90.0</v>
      </c>
      <c r="C36" s="21" t="s">
        <v>202</v>
      </c>
    </row>
    <row r="37" ht="14.25" customHeight="1">
      <c r="A37" s="21" t="s">
        <v>704</v>
      </c>
      <c r="B37" s="19">
        <v>20.0</v>
      </c>
      <c r="C37" s="21" t="s">
        <v>731</v>
      </c>
    </row>
    <row r="38" ht="14.25" customHeight="1">
      <c r="A38" s="21" t="s">
        <v>41</v>
      </c>
      <c r="B38" s="19">
        <v>20.0</v>
      </c>
      <c r="C38" s="21" t="s">
        <v>725</v>
      </c>
    </row>
    <row r="39" ht="14.25" customHeight="1">
      <c r="A39" s="21" t="s">
        <v>116</v>
      </c>
      <c r="B39" s="19">
        <v>-30.0</v>
      </c>
      <c r="C39" s="21" t="s">
        <v>732</v>
      </c>
    </row>
    <row r="40" ht="14.25" customHeight="1">
      <c r="A40" s="21" t="s">
        <v>341</v>
      </c>
      <c r="B40" s="19">
        <v>-30.0</v>
      </c>
      <c r="C40" s="21" t="s">
        <v>732</v>
      </c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1528.72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733</v>
      </c>
      <c r="B1" s="2"/>
      <c r="C1" s="3"/>
      <c r="E1" s="4" t="s">
        <v>1</v>
      </c>
      <c r="F1" s="2"/>
      <c r="G1" s="3"/>
      <c r="I1" s="1" t="s">
        <v>272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1528.7200000000003</v>
      </c>
      <c r="C3" s="14" t="s">
        <v>734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/>
    </row>
    <row r="4" ht="14.25" customHeight="1">
      <c r="A4" s="21" t="s">
        <v>356</v>
      </c>
      <c r="B4" s="19">
        <v>90.0</v>
      </c>
      <c r="C4" s="21" t="s">
        <v>267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193</v>
      </c>
      <c r="B5" s="19">
        <v>90.0</v>
      </c>
      <c r="C5" s="21" t="s">
        <v>267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260</v>
      </c>
      <c r="K5" s="16" t="s">
        <v>20</v>
      </c>
    </row>
    <row r="6" ht="14.25" customHeight="1">
      <c r="A6" s="21" t="s">
        <v>269</v>
      </c>
      <c r="B6" s="19">
        <v>180.0</v>
      </c>
      <c r="C6" s="21" t="s">
        <v>720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39</v>
      </c>
      <c r="B7" s="19">
        <v>90.0</v>
      </c>
      <c r="C7" s="21" t="s">
        <v>267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664</v>
      </c>
      <c r="B8" s="19">
        <v>20.0</v>
      </c>
      <c r="C8" s="21" t="s">
        <v>735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126</v>
      </c>
      <c r="B9" s="19">
        <v>40.0</v>
      </c>
      <c r="C9" s="21" t="s">
        <v>736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116</v>
      </c>
      <c r="B10" s="19">
        <v>-30.0</v>
      </c>
      <c r="C10" s="21" t="s">
        <v>735</v>
      </c>
      <c r="E10" s="21" t="s">
        <v>657</v>
      </c>
      <c r="F10" s="19">
        <v>20.0</v>
      </c>
      <c r="G10" s="21" t="s">
        <v>655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53</v>
      </c>
      <c r="B11" s="19">
        <v>-291.74</v>
      </c>
      <c r="C11" s="21" t="s">
        <v>364</v>
      </c>
      <c r="E11" s="21" t="s">
        <v>673</v>
      </c>
      <c r="F11" s="19">
        <v>20.0</v>
      </c>
      <c r="G11" s="21" t="s">
        <v>674</v>
      </c>
      <c r="I11" s="11">
        <v>9.0</v>
      </c>
      <c r="J11" s="29" t="s">
        <v>269</v>
      </c>
      <c r="K11" s="16"/>
    </row>
    <row r="12" ht="14.25" customHeight="1">
      <c r="A12" s="21" t="s">
        <v>53</v>
      </c>
      <c r="B12" s="19">
        <v>90.0</v>
      </c>
      <c r="C12" s="21" t="s">
        <v>267</v>
      </c>
      <c r="E12" s="21" t="s">
        <v>714</v>
      </c>
      <c r="F12" s="19">
        <v>40.0</v>
      </c>
      <c r="G12" s="21" t="s">
        <v>719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534</v>
      </c>
      <c r="B13" s="19">
        <v>-45.0</v>
      </c>
      <c r="C13" s="21" t="s">
        <v>105</v>
      </c>
      <c r="E13" s="21" t="s">
        <v>41</v>
      </c>
      <c r="F13" s="19">
        <v>40.0</v>
      </c>
      <c r="G13" s="21" t="s">
        <v>737</v>
      </c>
      <c r="I13" s="11">
        <v>11.0</v>
      </c>
      <c r="J13" s="20" t="s">
        <v>97</v>
      </c>
      <c r="K13" s="16" t="s">
        <v>210</v>
      </c>
    </row>
    <row r="14" ht="14.25" customHeight="1">
      <c r="A14" s="34" t="s">
        <v>77</v>
      </c>
      <c r="B14" s="38">
        <v>-1050.0</v>
      </c>
      <c r="C14" s="34" t="s">
        <v>738</v>
      </c>
      <c r="E14" s="21" t="s">
        <v>131</v>
      </c>
      <c r="F14" s="19">
        <v>60.0</v>
      </c>
      <c r="G14" s="21" t="s">
        <v>739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709</v>
      </c>
      <c r="B15" s="19">
        <v>20.0</v>
      </c>
      <c r="C15" s="21" t="s">
        <v>726</v>
      </c>
      <c r="D15" s="39"/>
      <c r="E15" s="21" t="s">
        <v>33</v>
      </c>
      <c r="F15" s="19">
        <v>40.0</v>
      </c>
      <c r="G15" s="21" t="s">
        <v>740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723</v>
      </c>
      <c r="B16" s="19">
        <v>90.0</v>
      </c>
      <c r="C16" s="21" t="s">
        <v>267</v>
      </c>
      <c r="E16" s="21" t="s">
        <v>19</v>
      </c>
      <c r="F16" s="19">
        <v>90.0</v>
      </c>
      <c r="G16" s="21" t="s">
        <v>267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348</v>
      </c>
      <c r="B17" s="19">
        <v>20.0</v>
      </c>
      <c r="C17" s="21" t="s">
        <v>726</v>
      </c>
      <c r="E17" s="21" t="s">
        <v>26</v>
      </c>
      <c r="F17" s="19">
        <v>90.0</v>
      </c>
      <c r="G17" s="21" t="s">
        <v>267</v>
      </c>
    </row>
    <row r="18" ht="14.25" customHeight="1">
      <c r="A18" s="21" t="s">
        <v>544</v>
      </c>
      <c r="B18" s="19">
        <v>90.0</v>
      </c>
      <c r="C18" s="21" t="s">
        <v>267</v>
      </c>
      <c r="E18" s="21" t="s">
        <v>269</v>
      </c>
      <c r="F18" s="19">
        <v>90.0</v>
      </c>
      <c r="G18" s="21" t="s">
        <v>267</v>
      </c>
    </row>
    <row r="19" ht="14.25" customHeight="1">
      <c r="A19" s="21" t="s">
        <v>664</v>
      </c>
      <c r="B19" s="19">
        <v>20.0</v>
      </c>
      <c r="C19" s="21" t="s">
        <v>741</v>
      </c>
      <c r="E19" s="21" t="s">
        <v>664</v>
      </c>
      <c r="F19" s="19">
        <v>20.0</v>
      </c>
      <c r="G19" s="21" t="s">
        <v>742</v>
      </c>
    </row>
    <row r="20" ht="14.25" customHeight="1">
      <c r="A20" s="21" t="s">
        <v>365</v>
      </c>
      <c r="B20" s="19">
        <v>180.0</v>
      </c>
      <c r="C20" s="21" t="s">
        <v>743</v>
      </c>
    </row>
    <row r="21" ht="14.25" customHeight="1">
      <c r="A21" s="21" t="s">
        <v>208</v>
      </c>
      <c r="B21" s="19">
        <v>90.0</v>
      </c>
      <c r="C21" s="21" t="s">
        <v>267</v>
      </c>
    </row>
    <row r="22" ht="14.25" customHeight="1">
      <c r="A22" s="21" t="s">
        <v>348</v>
      </c>
      <c r="B22" s="19">
        <v>20.0</v>
      </c>
      <c r="C22" s="21" t="s">
        <v>742</v>
      </c>
    </row>
    <row r="23" ht="14.25" customHeight="1">
      <c r="A23" s="21" t="s">
        <v>709</v>
      </c>
      <c r="B23" s="19">
        <v>20.0</v>
      </c>
      <c r="C23" s="21" t="s">
        <v>742</v>
      </c>
      <c r="E23" s="11" t="s">
        <v>46</v>
      </c>
      <c r="F23" s="12">
        <f>SUM(F3:F18)</f>
        <v>900.003</v>
      </c>
    </row>
    <row r="24" ht="14.25" customHeight="1">
      <c r="A24" s="21" t="s">
        <v>43</v>
      </c>
      <c r="B24" s="19">
        <v>90.0</v>
      </c>
      <c r="C24" s="21" t="s">
        <v>267</v>
      </c>
    </row>
    <row r="25" ht="14.25" customHeight="1">
      <c r="A25" s="21" t="s">
        <v>60</v>
      </c>
      <c r="B25" s="19">
        <v>90.0</v>
      </c>
      <c r="C25" s="21" t="s">
        <v>267</v>
      </c>
    </row>
    <row r="26" ht="14.25" customHeight="1">
      <c r="A26" s="21" t="s">
        <v>486</v>
      </c>
      <c r="B26" s="19">
        <v>-30.0</v>
      </c>
      <c r="C26" s="21" t="s">
        <v>744</v>
      </c>
    </row>
    <row r="27" ht="14.25" customHeight="1">
      <c r="A27" s="21" t="s">
        <v>745</v>
      </c>
      <c r="B27" s="19">
        <v>-30.0</v>
      </c>
      <c r="C27" s="21" t="s">
        <v>744</v>
      </c>
    </row>
    <row r="28" ht="14.25" customHeight="1">
      <c r="A28" s="21" t="s">
        <v>709</v>
      </c>
      <c r="B28" s="19">
        <v>20.0</v>
      </c>
      <c r="C28" s="21" t="s">
        <v>744</v>
      </c>
    </row>
    <row r="29" ht="14.25" customHeight="1">
      <c r="A29" s="21" t="s">
        <v>348</v>
      </c>
      <c r="B29" s="19">
        <v>20.0</v>
      </c>
      <c r="C29" s="21" t="s">
        <v>744</v>
      </c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1421.98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746</v>
      </c>
      <c r="B1" s="2"/>
      <c r="C1" s="3"/>
      <c r="E1" s="4" t="s">
        <v>1</v>
      </c>
      <c r="F1" s="2"/>
      <c r="G1" s="3"/>
      <c r="I1" s="1" t="s">
        <v>272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1421.9800000000002</v>
      </c>
      <c r="C3" s="14" t="s">
        <v>539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356</v>
      </c>
      <c r="B4" s="19">
        <v>90.0</v>
      </c>
      <c r="C4" s="21" t="s">
        <v>299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193</v>
      </c>
      <c r="B5" s="19">
        <v>90.0</v>
      </c>
      <c r="C5" s="21" t="s">
        <v>299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723</v>
      </c>
      <c r="K5" s="16" t="s">
        <v>20</v>
      </c>
    </row>
    <row r="6" ht="14.25" customHeight="1">
      <c r="A6" s="21" t="s">
        <v>60</v>
      </c>
      <c r="B6" s="19">
        <v>-250.0</v>
      </c>
      <c r="C6" s="21" t="s">
        <v>364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/>
    </row>
    <row r="7" ht="14.25" customHeight="1">
      <c r="A7" s="21" t="s">
        <v>53</v>
      </c>
      <c r="B7" s="19">
        <v>90.0</v>
      </c>
      <c r="C7" s="21" t="s">
        <v>299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290</v>
      </c>
      <c r="B8" s="19">
        <v>20.0</v>
      </c>
      <c r="C8" s="21" t="s">
        <v>747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/>
    </row>
    <row r="9" ht="14.25" customHeight="1">
      <c r="A9" s="21" t="s">
        <v>723</v>
      </c>
      <c r="B9" s="19">
        <v>90.0</v>
      </c>
      <c r="C9" s="21" t="s">
        <v>299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105</v>
      </c>
      <c r="B10" s="19">
        <v>-40.0</v>
      </c>
      <c r="C10" s="21" t="s">
        <v>364</v>
      </c>
      <c r="E10" s="21" t="s">
        <v>657</v>
      </c>
      <c r="F10" s="19">
        <v>20.0</v>
      </c>
      <c r="G10" s="21" t="s">
        <v>655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95</v>
      </c>
      <c r="B11" s="19">
        <v>20.0</v>
      </c>
      <c r="C11" s="19" t="s">
        <v>748</v>
      </c>
      <c r="E11" s="21" t="s">
        <v>673</v>
      </c>
      <c r="F11" s="19">
        <v>20.0</v>
      </c>
      <c r="G11" s="21" t="s">
        <v>674</v>
      </c>
      <c r="I11" s="11">
        <v>9.0</v>
      </c>
      <c r="J11" s="29" t="s">
        <v>269</v>
      </c>
      <c r="K11" s="16"/>
    </row>
    <row r="12" ht="14.25" customHeight="1">
      <c r="A12" s="21" t="s">
        <v>544</v>
      </c>
      <c r="B12" s="19">
        <v>90.0</v>
      </c>
      <c r="C12" s="21" t="s">
        <v>299</v>
      </c>
      <c r="E12" s="21" t="s">
        <v>714</v>
      </c>
      <c r="F12" s="19">
        <v>40.0</v>
      </c>
      <c r="G12" s="21" t="s">
        <v>719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39</v>
      </c>
      <c r="B13" s="19">
        <v>90.0</v>
      </c>
      <c r="C13" s="21" t="s">
        <v>299</v>
      </c>
      <c r="E13" s="21" t="s">
        <v>26</v>
      </c>
      <c r="F13" s="19">
        <v>180.0</v>
      </c>
      <c r="G13" s="21" t="s">
        <v>749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-1005.0</v>
      </c>
      <c r="C14" s="34" t="s">
        <v>750</v>
      </c>
      <c r="E14" s="21" t="s">
        <v>269</v>
      </c>
      <c r="F14" s="19">
        <v>180.0</v>
      </c>
      <c r="G14" s="21" t="s">
        <v>751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116</v>
      </c>
      <c r="B15" s="19">
        <v>-30.0</v>
      </c>
      <c r="C15" s="19" t="s">
        <v>748</v>
      </c>
      <c r="D15" s="39"/>
      <c r="E15" s="21" t="s">
        <v>664</v>
      </c>
      <c r="F15" s="19">
        <v>20.0</v>
      </c>
      <c r="G15" s="21" t="s">
        <v>742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33</v>
      </c>
      <c r="B16" s="19">
        <v>60.0</v>
      </c>
      <c r="C16" s="21" t="s">
        <v>752</v>
      </c>
      <c r="E16" s="21" t="s">
        <v>126</v>
      </c>
      <c r="F16" s="19">
        <v>20.0</v>
      </c>
      <c r="G16" s="21" t="s">
        <v>753</v>
      </c>
      <c r="I16" s="11">
        <v>14.0</v>
      </c>
      <c r="J16" s="21" t="s">
        <v>60</v>
      </c>
      <c r="K16" s="16" t="s">
        <v>20</v>
      </c>
    </row>
    <row r="17" ht="14.25" customHeight="1">
      <c r="A17" s="21" t="s">
        <v>689</v>
      </c>
      <c r="B17" s="19">
        <v>40.0</v>
      </c>
      <c r="C17" s="21" t="s">
        <v>737</v>
      </c>
    </row>
    <row r="18" ht="14.25" customHeight="1">
      <c r="A18" s="21" t="s">
        <v>60</v>
      </c>
      <c r="B18" s="19">
        <v>90.0</v>
      </c>
      <c r="C18" s="21" t="s">
        <v>299</v>
      </c>
      <c r="E18" s="21" t="s">
        <v>365</v>
      </c>
      <c r="F18" s="19">
        <v>90.0</v>
      </c>
      <c r="G18" s="21" t="s">
        <v>299</v>
      </c>
    </row>
    <row r="19" ht="14.25" customHeight="1">
      <c r="A19" s="21" t="s">
        <v>208</v>
      </c>
      <c r="B19" s="19">
        <v>90.0</v>
      </c>
      <c r="C19" s="21" t="s">
        <v>299</v>
      </c>
      <c r="E19" s="21" t="s">
        <v>41</v>
      </c>
      <c r="F19" s="19">
        <v>20.0</v>
      </c>
      <c r="G19" s="21" t="s">
        <v>754</v>
      </c>
    </row>
    <row r="20" ht="14.25" customHeight="1">
      <c r="A20" s="21" t="s">
        <v>348</v>
      </c>
      <c r="B20" s="19">
        <v>20.0</v>
      </c>
      <c r="C20" s="21" t="s">
        <v>753</v>
      </c>
      <c r="E20" s="21" t="s">
        <v>33</v>
      </c>
      <c r="F20" s="19">
        <v>40.0</v>
      </c>
      <c r="G20" s="21" t="s">
        <v>755</v>
      </c>
    </row>
    <row r="21" ht="14.25" customHeight="1">
      <c r="A21" s="21" t="s">
        <v>19</v>
      </c>
      <c r="B21" s="19">
        <v>180.0</v>
      </c>
      <c r="C21" s="21" t="s">
        <v>749</v>
      </c>
      <c r="E21" s="21" t="s">
        <v>348</v>
      </c>
      <c r="F21" s="19">
        <v>20.0</v>
      </c>
      <c r="G21" s="21" t="s">
        <v>340</v>
      </c>
    </row>
    <row r="22" ht="14.25" customHeight="1">
      <c r="A22" s="21" t="s">
        <v>97</v>
      </c>
      <c r="B22" s="19">
        <v>90.0</v>
      </c>
      <c r="C22" s="21" t="s">
        <v>299</v>
      </c>
      <c r="E22" s="21" t="s">
        <v>95</v>
      </c>
      <c r="F22" s="19">
        <v>20.0</v>
      </c>
      <c r="G22" s="21" t="s">
        <v>340</v>
      </c>
    </row>
    <row r="23" ht="14.25" customHeight="1">
      <c r="A23" s="21" t="s">
        <v>131</v>
      </c>
      <c r="B23" s="19">
        <v>80.0</v>
      </c>
      <c r="C23" s="21" t="s">
        <v>756</v>
      </c>
    </row>
    <row r="24" ht="14.25" customHeight="1">
      <c r="A24" s="21" t="s">
        <v>116</v>
      </c>
      <c r="B24" s="19">
        <v>-30.0</v>
      </c>
      <c r="C24" s="21" t="s">
        <v>753</v>
      </c>
    </row>
    <row r="25" ht="14.25" customHeight="1">
      <c r="A25" s="21" t="s">
        <v>116</v>
      </c>
      <c r="B25" s="19">
        <v>-30.0</v>
      </c>
      <c r="C25" s="21" t="s">
        <v>754</v>
      </c>
    </row>
    <row r="26" ht="14.25" customHeight="1">
      <c r="A26" s="21" t="s">
        <v>43</v>
      </c>
      <c r="B26" s="19">
        <v>90.0</v>
      </c>
      <c r="C26" s="21" t="s">
        <v>299</v>
      </c>
    </row>
    <row r="27" ht="14.25" customHeight="1">
      <c r="A27" s="21" t="s">
        <v>69</v>
      </c>
      <c r="B27" s="19">
        <v>-300.0</v>
      </c>
      <c r="C27" s="21" t="s">
        <v>364</v>
      </c>
      <c r="E27" s="11" t="s">
        <v>46</v>
      </c>
      <c r="F27" s="12">
        <f>SUM(F3:F14)</f>
        <v>850.003</v>
      </c>
    </row>
    <row r="28" ht="14.25" customHeight="1">
      <c r="A28" s="21" t="s">
        <v>116</v>
      </c>
      <c r="B28" s="19">
        <v>-30.0</v>
      </c>
      <c r="C28" s="21" t="s">
        <v>340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21"/>
      <c r="C43" s="21"/>
    </row>
    <row r="44" ht="14.25" customHeight="1">
      <c r="A44" s="51" t="s">
        <v>106</v>
      </c>
      <c r="B44" s="52">
        <f>SUM(B3:B43)</f>
        <v>1026.98</v>
      </c>
      <c r="C44" s="51"/>
    </row>
    <row r="45" ht="14.25" customHeight="1"/>
    <row r="46" ht="14.25" customHeight="1">
      <c r="B46" s="44"/>
    </row>
    <row r="47" ht="14.25" customHeight="1">
      <c r="B47" s="44"/>
    </row>
    <row r="48" ht="14.25" customHeight="1">
      <c r="A48" s="59"/>
      <c r="B48" s="60"/>
      <c r="C48" s="59"/>
    </row>
    <row r="49" ht="14.25" customHeight="1">
      <c r="B49" s="44"/>
    </row>
    <row r="50" ht="14.25" customHeight="1">
      <c r="B50" s="44"/>
    </row>
    <row r="51" ht="14.25" customHeight="1">
      <c r="B51" s="44"/>
    </row>
    <row r="52" ht="14.25" customHeight="1">
      <c r="B52" s="44"/>
    </row>
    <row r="53" ht="14.25" customHeight="1">
      <c r="B53" s="44"/>
    </row>
    <row r="54" ht="14.25" customHeight="1">
      <c r="B54" s="44"/>
    </row>
    <row r="55" ht="14.25" customHeight="1">
      <c r="B55" s="44"/>
    </row>
    <row r="56" ht="14.25" customHeight="1">
      <c r="B56" s="44"/>
    </row>
    <row r="57" ht="14.25" customHeight="1">
      <c r="B57" s="44"/>
    </row>
    <row r="58" ht="14.25" customHeight="1">
      <c r="B58" s="44"/>
    </row>
    <row r="59" ht="14.25" customHeight="1">
      <c r="B59" s="44"/>
    </row>
    <row r="60" ht="14.25" customHeight="1">
      <c r="B60" s="44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4.29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757</v>
      </c>
      <c r="B1" s="2"/>
      <c r="C1" s="3"/>
      <c r="E1" s="4" t="s">
        <v>1</v>
      </c>
      <c r="F1" s="2"/>
      <c r="G1" s="3"/>
      <c r="I1" s="1" t="s">
        <v>300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1026.9800000000002</v>
      </c>
      <c r="C3" s="14" t="s">
        <v>539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210</v>
      </c>
    </row>
    <row r="4" ht="14.25" customHeight="1">
      <c r="A4" s="21" t="s">
        <v>39</v>
      </c>
      <c r="B4" s="19">
        <v>90.0</v>
      </c>
      <c r="C4" s="21" t="s">
        <v>27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 t="s">
        <v>210</v>
      </c>
    </row>
    <row r="5" ht="14.25" customHeight="1">
      <c r="A5" s="21" t="s">
        <v>53</v>
      </c>
      <c r="B5" s="19">
        <v>90.0</v>
      </c>
      <c r="C5" s="21" t="s">
        <v>27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723</v>
      </c>
      <c r="K5" s="16" t="s">
        <v>20</v>
      </c>
    </row>
    <row r="6" ht="14.25" customHeight="1">
      <c r="A6" s="21" t="s">
        <v>193</v>
      </c>
      <c r="B6" s="19">
        <v>90.0</v>
      </c>
      <c r="C6" s="21" t="s">
        <v>27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/>
    </row>
    <row r="7" ht="14.25" customHeight="1">
      <c r="A7" s="25" t="s">
        <v>441</v>
      </c>
      <c r="B7" s="103">
        <v>90.0</v>
      </c>
      <c r="C7" s="104" t="s">
        <v>27</v>
      </c>
      <c r="E7" s="21" t="s">
        <v>74</v>
      </c>
      <c r="F7" s="19">
        <v>90.0</v>
      </c>
      <c r="G7" s="21" t="s">
        <v>18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116</v>
      </c>
      <c r="B8" s="19">
        <v>-30.0</v>
      </c>
      <c r="C8" s="21" t="s">
        <v>758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/>
    </row>
    <row r="9" ht="14.25" customHeight="1">
      <c r="A9" s="21" t="s">
        <v>486</v>
      </c>
      <c r="B9" s="19">
        <v>-30.0</v>
      </c>
      <c r="C9" s="21" t="s">
        <v>758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126</v>
      </c>
      <c r="B10" s="19">
        <v>40.0</v>
      </c>
      <c r="C10" s="21" t="s">
        <v>760</v>
      </c>
      <c r="E10" s="21" t="s">
        <v>673</v>
      </c>
      <c r="F10" s="19">
        <v>20.0</v>
      </c>
      <c r="G10" s="21" t="s">
        <v>674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348</v>
      </c>
      <c r="B11" s="19">
        <v>40.0</v>
      </c>
      <c r="C11" s="21" t="s">
        <v>761</v>
      </c>
      <c r="E11" s="21" t="s">
        <v>714</v>
      </c>
      <c r="F11" s="19">
        <v>40.0</v>
      </c>
      <c r="G11" s="21" t="s">
        <v>719</v>
      </c>
      <c r="I11" s="11">
        <v>9.0</v>
      </c>
      <c r="J11" s="29" t="s">
        <v>269</v>
      </c>
      <c r="K11" s="16"/>
    </row>
    <row r="12" ht="14.25" customHeight="1">
      <c r="A12" s="21" t="s">
        <v>657</v>
      </c>
      <c r="B12" s="19">
        <v>20.0</v>
      </c>
      <c r="C12" s="21" t="s">
        <v>655</v>
      </c>
      <c r="E12" s="21" t="s">
        <v>664</v>
      </c>
      <c r="F12" s="19">
        <v>20.0</v>
      </c>
      <c r="G12" s="21" t="s">
        <v>742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668</v>
      </c>
      <c r="B13" s="19">
        <v>90.0</v>
      </c>
      <c r="C13" s="21" t="s">
        <v>267</v>
      </c>
      <c r="E13" s="21" t="s">
        <v>41</v>
      </c>
      <c r="F13" s="19">
        <v>20.0</v>
      </c>
      <c r="G13" s="21" t="s">
        <v>762</v>
      </c>
      <c r="I13" s="11">
        <v>11.0</v>
      </c>
      <c r="J13" s="20" t="s">
        <v>97</v>
      </c>
      <c r="K13" s="16" t="s">
        <v>210</v>
      </c>
    </row>
    <row r="14" ht="14.25" customHeight="1">
      <c r="A14" s="34" t="s">
        <v>77</v>
      </c>
      <c r="B14" s="38">
        <v>-1050.0</v>
      </c>
      <c r="C14" s="34" t="s">
        <v>750</v>
      </c>
      <c r="E14" s="21" t="s">
        <v>95</v>
      </c>
      <c r="F14" s="19">
        <v>20.0</v>
      </c>
      <c r="G14" s="21" t="s">
        <v>340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763</v>
      </c>
      <c r="B15" s="19">
        <v>90.0</v>
      </c>
      <c r="C15" s="21" t="s">
        <v>27</v>
      </c>
      <c r="D15" s="39"/>
      <c r="E15" s="21" t="s">
        <v>764</v>
      </c>
      <c r="F15" s="19">
        <v>20.0</v>
      </c>
      <c r="G15" s="21" t="s">
        <v>758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544</v>
      </c>
      <c r="B16" s="19">
        <v>90.0</v>
      </c>
      <c r="C16" s="21" t="s">
        <v>27</v>
      </c>
      <c r="E16" s="21" t="s">
        <v>766</v>
      </c>
      <c r="F16" s="19">
        <v>20.0</v>
      </c>
      <c r="G16" s="21" t="s">
        <v>767</v>
      </c>
      <c r="I16" s="11">
        <v>14.0</v>
      </c>
      <c r="J16" s="21" t="s">
        <v>60</v>
      </c>
      <c r="K16" s="16" t="s">
        <v>210</v>
      </c>
    </row>
    <row r="17" ht="14.25" customHeight="1">
      <c r="A17" s="21" t="s">
        <v>348</v>
      </c>
      <c r="B17" s="19">
        <v>20.0</v>
      </c>
      <c r="C17" s="21" t="s">
        <v>767</v>
      </c>
      <c r="E17" s="21" t="s">
        <v>126</v>
      </c>
      <c r="F17" s="19">
        <v>20.0</v>
      </c>
      <c r="G17" s="21" t="s">
        <v>767</v>
      </c>
    </row>
    <row r="18" ht="14.25" customHeight="1">
      <c r="A18" s="21" t="s">
        <v>41</v>
      </c>
      <c r="B18" s="19">
        <v>40.0</v>
      </c>
      <c r="C18" s="21" t="s">
        <v>769</v>
      </c>
      <c r="E18" s="21" t="s">
        <v>26</v>
      </c>
      <c r="F18" s="19">
        <v>270.0</v>
      </c>
      <c r="G18" s="21" t="s">
        <v>771</v>
      </c>
    </row>
    <row r="19" ht="14.25" customHeight="1">
      <c r="A19" s="21" t="s">
        <v>116</v>
      </c>
      <c r="B19" s="19">
        <v>-30.0</v>
      </c>
      <c r="C19" s="21" t="s">
        <v>762</v>
      </c>
      <c r="E19" s="21" t="s">
        <v>365</v>
      </c>
      <c r="F19" s="19">
        <v>180.0</v>
      </c>
      <c r="G19" s="21" t="s">
        <v>557</v>
      </c>
    </row>
    <row r="20" ht="14.25" customHeight="1">
      <c r="A20" s="21" t="s">
        <v>261</v>
      </c>
      <c r="B20" s="19">
        <v>20.0</v>
      </c>
      <c r="C20" s="21" t="s">
        <v>767</v>
      </c>
      <c r="E20" s="21" t="s">
        <v>43</v>
      </c>
      <c r="F20" s="19">
        <v>90.0</v>
      </c>
      <c r="G20" s="21" t="s">
        <v>27</v>
      </c>
    </row>
    <row r="21" ht="14.25" customHeight="1">
      <c r="A21" s="21" t="s">
        <v>33</v>
      </c>
      <c r="B21" s="19">
        <v>60.0</v>
      </c>
      <c r="C21" s="21" t="s">
        <v>772</v>
      </c>
      <c r="E21" s="21" t="s">
        <v>269</v>
      </c>
      <c r="F21" s="19">
        <v>90.0</v>
      </c>
      <c r="G21" s="21" t="s">
        <v>27</v>
      </c>
    </row>
    <row r="22" ht="14.25" customHeight="1">
      <c r="A22" s="21" t="s">
        <v>208</v>
      </c>
      <c r="B22" s="19">
        <v>90.0</v>
      </c>
      <c r="C22" s="21" t="s">
        <v>27</v>
      </c>
      <c r="E22" s="21" t="s">
        <v>60</v>
      </c>
      <c r="F22" s="19">
        <v>90.0</v>
      </c>
      <c r="G22" s="21" t="s">
        <v>27</v>
      </c>
    </row>
    <row r="23" ht="14.25" customHeight="1">
      <c r="A23" s="21" t="s">
        <v>269</v>
      </c>
      <c r="B23" s="19">
        <v>90.0</v>
      </c>
      <c r="C23" s="21" t="s">
        <v>299</v>
      </c>
    </row>
    <row r="24" ht="14.25" customHeight="1">
      <c r="A24" s="21" t="s">
        <v>279</v>
      </c>
      <c r="B24" s="19">
        <v>50.0</v>
      </c>
      <c r="C24" s="21" t="s">
        <v>773</v>
      </c>
    </row>
    <row r="25" ht="14.25" customHeight="1">
      <c r="A25" s="21" t="s">
        <v>775</v>
      </c>
      <c r="B25" s="19">
        <v>50.0</v>
      </c>
      <c r="C25" s="21" t="s">
        <v>773</v>
      </c>
    </row>
    <row r="26" ht="14.25" customHeight="1">
      <c r="A26" s="21" t="s">
        <v>81</v>
      </c>
      <c r="B26" s="19">
        <v>50.0</v>
      </c>
      <c r="C26" s="21" t="s">
        <v>773</v>
      </c>
    </row>
    <row r="27" ht="14.25" customHeight="1">
      <c r="A27" s="21" t="s">
        <v>96</v>
      </c>
      <c r="B27" s="19">
        <v>50.0</v>
      </c>
      <c r="C27" s="21" t="s">
        <v>773</v>
      </c>
      <c r="E27" s="11" t="s">
        <v>46</v>
      </c>
      <c r="F27" s="12">
        <f>SUM(F3:F22)</f>
        <v>1310.003</v>
      </c>
    </row>
    <row r="28" ht="14.25" customHeight="1">
      <c r="A28" s="21" t="s">
        <v>777</v>
      </c>
      <c r="B28" s="19">
        <v>50.0</v>
      </c>
      <c r="C28" s="21" t="s">
        <v>773</v>
      </c>
    </row>
    <row r="29" ht="14.25" customHeight="1">
      <c r="A29" s="21" t="s">
        <v>778</v>
      </c>
      <c r="B29" s="19">
        <v>50.0</v>
      </c>
      <c r="C29" s="21" t="s">
        <v>773</v>
      </c>
    </row>
    <row r="30" ht="14.25" customHeight="1">
      <c r="A30" s="21" t="s">
        <v>116</v>
      </c>
      <c r="B30" s="19">
        <v>-30.0</v>
      </c>
      <c r="C30" s="21" t="s">
        <v>779</v>
      </c>
    </row>
    <row r="31" ht="14.25" customHeight="1">
      <c r="A31" s="21" t="s">
        <v>69</v>
      </c>
      <c r="B31" s="19">
        <v>50.0</v>
      </c>
      <c r="C31" s="21" t="s">
        <v>773</v>
      </c>
    </row>
    <row r="32" ht="14.25" customHeight="1">
      <c r="A32" s="21" t="s">
        <v>781</v>
      </c>
      <c r="B32" s="19">
        <v>50.0</v>
      </c>
      <c r="C32" s="21" t="s">
        <v>773</v>
      </c>
    </row>
    <row r="33" ht="14.25" customHeight="1">
      <c r="A33" s="21" t="s">
        <v>60</v>
      </c>
      <c r="B33" s="19">
        <v>50.0</v>
      </c>
      <c r="C33" s="21" t="s">
        <v>773</v>
      </c>
    </row>
    <row r="34" ht="14.25" customHeight="1">
      <c r="A34" s="21" t="s">
        <v>197</v>
      </c>
      <c r="B34" s="19">
        <v>20.0</v>
      </c>
      <c r="C34" s="21" t="s">
        <v>779</v>
      </c>
    </row>
    <row r="35" ht="14.25" customHeight="1">
      <c r="A35" s="21" t="s">
        <v>782</v>
      </c>
      <c r="B35" s="19">
        <v>20.0</v>
      </c>
      <c r="C35" s="21" t="s">
        <v>779</v>
      </c>
    </row>
    <row r="36" ht="14.25" customHeight="1">
      <c r="A36" s="21" t="s">
        <v>33</v>
      </c>
      <c r="B36" s="19">
        <v>20.0</v>
      </c>
      <c r="C36" s="21" t="s">
        <v>779</v>
      </c>
    </row>
    <row r="37" ht="14.25" customHeight="1">
      <c r="A37" s="21" t="s">
        <v>290</v>
      </c>
      <c r="B37" s="19">
        <v>50.0</v>
      </c>
      <c r="C37" s="21" t="s">
        <v>773</v>
      </c>
    </row>
    <row r="38" ht="14.25" customHeight="1">
      <c r="A38" s="21" t="s">
        <v>26</v>
      </c>
      <c r="B38" s="19">
        <v>50.0</v>
      </c>
      <c r="C38" s="21" t="s">
        <v>773</v>
      </c>
    </row>
    <row r="39" ht="14.25" customHeight="1">
      <c r="A39" s="21" t="s">
        <v>197</v>
      </c>
      <c r="B39" s="19">
        <v>50.0</v>
      </c>
      <c r="C39" s="21" t="s">
        <v>773</v>
      </c>
    </row>
    <row r="40" ht="14.25" customHeight="1">
      <c r="A40" s="21" t="s">
        <v>179</v>
      </c>
      <c r="B40" s="19">
        <v>90.0</v>
      </c>
      <c r="C40" s="21" t="s">
        <v>783</v>
      </c>
    </row>
    <row r="41" ht="14.25" customHeight="1">
      <c r="A41" s="21" t="s">
        <v>179</v>
      </c>
      <c r="B41" s="19">
        <v>50.0</v>
      </c>
      <c r="C41" s="21" t="s">
        <v>773</v>
      </c>
    </row>
    <row r="42" ht="14.25" customHeight="1">
      <c r="A42" s="21" t="s">
        <v>179</v>
      </c>
      <c r="B42" s="19">
        <v>20.0</v>
      </c>
      <c r="C42" s="21"/>
    </row>
    <row r="43" ht="14.25" customHeight="1">
      <c r="A43" s="21" t="s">
        <v>108</v>
      </c>
      <c r="B43" s="19">
        <v>-643.0</v>
      </c>
      <c r="C43" s="21" t="s">
        <v>773</v>
      </c>
    </row>
    <row r="44" ht="14.25" customHeight="1">
      <c r="A44" s="21" t="s">
        <v>108</v>
      </c>
      <c r="B44" s="19">
        <v>-97.51</v>
      </c>
      <c r="C44" s="21" t="s">
        <v>773</v>
      </c>
    </row>
    <row r="45" ht="14.25" customHeight="1">
      <c r="A45" s="21" t="s">
        <v>258</v>
      </c>
      <c r="B45" s="19">
        <v>50.0</v>
      </c>
      <c r="C45" s="21" t="s">
        <v>773</v>
      </c>
    </row>
    <row r="46" ht="14.25" customHeight="1">
      <c r="A46" s="21" t="s">
        <v>131</v>
      </c>
      <c r="B46" s="19">
        <v>90.0</v>
      </c>
      <c r="C46" s="21" t="s">
        <v>787</v>
      </c>
    </row>
    <row r="47" ht="14.25" customHeight="1">
      <c r="A47" s="21" t="s">
        <v>28</v>
      </c>
      <c r="B47" s="19">
        <v>50.0</v>
      </c>
      <c r="C47" s="21" t="s">
        <v>773</v>
      </c>
    </row>
    <row r="48" ht="14.25" customHeight="1">
      <c r="A48" s="21" t="s">
        <v>108</v>
      </c>
      <c r="B48" s="19">
        <v>-95.6</v>
      </c>
      <c r="C48" s="21" t="s">
        <v>773</v>
      </c>
    </row>
    <row r="49" ht="14.25" customHeight="1">
      <c r="A49" s="21" t="s">
        <v>788</v>
      </c>
      <c r="B49" s="19">
        <v>-340.0</v>
      </c>
      <c r="C49" s="21" t="s">
        <v>773</v>
      </c>
    </row>
    <row r="50" ht="14.25" customHeight="1">
      <c r="A50" s="21" t="s">
        <v>789</v>
      </c>
      <c r="B50" s="19">
        <v>-159.25</v>
      </c>
      <c r="C50" s="21" t="s">
        <v>773</v>
      </c>
    </row>
    <row r="51" ht="14.25" customHeight="1">
      <c r="A51" s="21" t="s">
        <v>790</v>
      </c>
      <c r="B51" s="19">
        <v>-50.0</v>
      </c>
      <c r="C51" s="21" t="s">
        <v>773</v>
      </c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531.62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4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759</v>
      </c>
      <c r="B1" s="2"/>
      <c r="C1" s="3"/>
      <c r="E1" s="4" t="s">
        <v>1</v>
      </c>
      <c r="F1" s="2"/>
      <c r="G1" s="3"/>
      <c r="I1" s="1" t="s">
        <v>337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531.6200000000003</v>
      </c>
      <c r="C3" s="14" t="s">
        <v>539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53</v>
      </c>
      <c r="B4" s="19">
        <v>90.0</v>
      </c>
      <c r="C4" s="21" t="s">
        <v>18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26</v>
      </c>
      <c r="B5" s="19">
        <v>200.0</v>
      </c>
      <c r="C5" s="21" t="s">
        <v>765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723</v>
      </c>
      <c r="K5" s="16" t="s">
        <v>20</v>
      </c>
    </row>
    <row r="6" ht="14.25" customHeight="1">
      <c r="A6" s="21" t="s">
        <v>97</v>
      </c>
      <c r="B6" s="19">
        <v>110.0</v>
      </c>
      <c r="C6" s="21" t="s">
        <v>768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/>
    </row>
    <row r="7" ht="14.25" customHeight="1">
      <c r="A7" s="21" t="s">
        <v>39</v>
      </c>
      <c r="B7" s="19">
        <v>90.0</v>
      </c>
      <c r="C7" s="21" t="s">
        <v>18</v>
      </c>
      <c r="E7" s="21" t="s">
        <v>74</v>
      </c>
      <c r="F7" s="19">
        <v>90.0</v>
      </c>
      <c r="G7" s="21" t="s">
        <v>770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441</v>
      </c>
      <c r="B8" s="19">
        <v>90.0</v>
      </c>
      <c r="C8" s="21" t="s">
        <v>18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43</v>
      </c>
      <c r="B9" s="19">
        <v>180.0</v>
      </c>
      <c r="C9" s="21" t="s">
        <v>375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365</v>
      </c>
      <c r="B10" s="19">
        <v>180.0</v>
      </c>
      <c r="C10" s="21" t="s">
        <v>557</v>
      </c>
      <c r="E10" s="21" t="s">
        <v>673</v>
      </c>
      <c r="F10" s="19">
        <v>20.0</v>
      </c>
      <c r="G10" s="21" t="s">
        <v>674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279</v>
      </c>
      <c r="B11" s="19">
        <v>15.0</v>
      </c>
      <c r="C11" s="21" t="s">
        <v>774</v>
      </c>
      <c r="E11" s="21" t="s">
        <v>714</v>
      </c>
      <c r="F11" s="19">
        <v>40.0</v>
      </c>
      <c r="G11" s="21" t="s">
        <v>719</v>
      </c>
      <c r="I11" s="11">
        <v>9.0</v>
      </c>
      <c r="J11" s="29" t="s">
        <v>269</v>
      </c>
      <c r="K11" s="16"/>
    </row>
    <row r="12" ht="14.25" customHeight="1">
      <c r="A12" s="21" t="s">
        <v>41</v>
      </c>
      <c r="B12" s="19">
        <v>20.0</v>
      </c>
      <c r="C12" s="21" t="s">
        <v>762</v>
      </c>
      <c r="E12" s="21" t="s">
        <v>664</v>
      </c>
      <c r="F12" s="19">
        <v>20.0</v>
      </c>
      <c r="G12" s="21" t="s">
        <v>742</v>
      </c>
      <c r="I12" s="11">
        <v>10.0</v>
      </c>
      <c r="J12" s="16" t="s">
        <v>356</v>
      </c>
      <c r="K12" s="16" t="s">
        <v>20</v>
      </c>
    </row>
    <row r="13" ht="14.25" customHeight="1">
      <c r="A13" s="21" t="s">
        <v>776</v>
      </c>
      <c r="B13" s="19">
        <v>15.0</v>
      </c>
      <c r="C13" s="21" t="s">
        <v>774</v>
      </c>
      <c r="E13" s="21" t="s">
        <v>269</v>
      </c>
      <c r="F13" s="19">
        <v>180.0</v>
      </c>
      <c r="G13" s="21" t="s">
        <v>375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780</v>
      </c>
      <c r="E14" s="21" t="s">
        <v>26</v>
      </c>
      <c r="F14" s="19">
        <v>90.0</v>
      </c>
      <c r="G14" s="21" t="s">
        <v>18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764</v>
      </c>
      <c r="B15" s="19">
        <v>20.0</v>
      </c>
      <c r="C15" s="21" t="s">
        <v>758</v>
      </c>
      <c r="D15" s="39"/>
      <c r="E15" s="21" t="s">
        <v>365</v>
      </c>
      <c r="F15" s="19">
        <v>90.0</v>
      </c>
      <c r="G15" s="21" t="s">
        <v>18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766</v>
      </c>
      <c r="B16" s="19">
        <v>20.0</v>
      </c>
      <c r="C16" s="21" t="s">
        <v>767</v>
      </c>
      <c r="E16" s="21" t="s">
        <v>33</v>
      </c>
      <c r="F16" s="19">
        <v>90.0</v>
      </c>
      <c r="G16" s="21" t="s">
        <v>18</v>
      </c>
      <c r="I16" s="11">
        <v>14.0</v>
      </c>
      <c r="J16" s="21" t="s">
        <v>33</v>
      </c>
      <c r="K16" s="16"/>
    </row>
    <row r="17" ht="14.25" customHeight="1">
      <c r="A17" s="21" t="s">
        <v>42</v>
      </c>
      <c r="B17" s="19">
        <v>90.0</v>
      </c>
      <c r="C17" s="21" t="s">
        <v>18</v>
      </c>
      <c r="E17" s="21" t="s">
        <v>60</v>
      </c>
      <c r="F17" s="19">
        <v>20.0</v>
      </c>
      <c r="G17" s="21" t="s">
        <v>784</v>
      </c>
    </row>
    <row r="18" ht="14.25" customHeight="1">
      <c r="A18" s="21" t="s">
        <v>260</v>
      </c>
      <c r="B18" s="19">
        <v>90.0</v>
      </c>
      <c r="C18" s="21" t="s">
        <v>18</v>
      </c>
    </row>
    <row r="19" ht="14.25" customHeight="1">
      <c r="A19" s="21" t="s">
        <v>126</v>
      </c>
      <c r="B19" s="19">
        <v>40.0</v>
      </c>
      <c r="C19" s="21" t="s">
        <v>785</v>
      </c>
    </row>
    <row r="20" ht="14.25" customHeight="1">
      <c r="A20" s="21" t="s">
        <v>486</v>
      </c>
      <c r="B20" s="19">
        <v>-30.0</v>
      </c>
      <c r="C20" s="21" t="s">
        <v>786</v>
      </c>
    </row>
    <row r="21" ht="14.25" customHeight="1">
      <c r="A21" s="21" t="s">
        <v>116</v>
      </c>
      <c r="B21" s="19">
        <v>-30.0</v>
      </c>
      <c r="C21" s="21" t="s">
        <v>786</v>
      </c>
    </row>
    <row r="22" ht="14.25" customHeight="1">
      <c r="A22" s="21" t="s">
        <v>243</v>
      </c>
      <c r="B22" s="19">
        <v>20.0</v>
      </c>
      <c r="C22" s="21" t="s">
        <v>786</v>
      </c>
    </row>
    <row r="23" ht="14.25" customHeight="1">
      <c r="A23" s="21" t="s">
        <v>208</v>
      </c>
      <c r="B23" s="19">
        <v>90.0</v>
      </c>
      <c r="C23" s="21" t="s">
        <v>18</v>
      </c>
      <c r="E23" s="11" t="s">
        <v>46</v>
      </c>
      <c r="F23" s="12">
        <f>SUM(F3:F15)</f>
        <v>850.003</v>
      </c>
    </row>
    <row r="24" ht="14.25" customHeight="1">
      <c r="A24" s="21" t="s">
        <v>544</v>
      </c>
      <c r="B24" s="19">
        <v>90.0</v>
      </c>
      <c r="C24" s="21" t="s">
        <v>18</v>
      </c>
    </row>
    <row r="25" ht="14.25" customHeight="1">
      <c r="A25" s="21" t="s">
        <v>95</v>
      </c>
      <c r="B25" s="19">
        <v>20.0</v>
      </c>
      <c r="C25" s="21" t="s">
        <v>340</v>
      </c>
    </row>
    <row r="26" ht="14.25" customHeight="1">
      <c r="A26" s="21" t="s">
        <v>348</v>
      </c>
      <c r="B26" s="19">
        <v>20.0</v>
      </c>
      <c r="C26" s="21" t="s">
        <v>784</v>
      </c>
    </row>
    <row r="27" ht="14.25" customHeight="1">
      <c r="A27" s="21" t="s">
        <v>69</v>
      </c>
      <c r="B27" s="19">
        <v>-280.0</v>
      </c>
      <c r="C27" s="21" t="s">
        <v>791</v>
      </c>
    </row>
    <row r="28" ht="14.25" customHeight="1">
      <c r="A28" s="21" t="s">
        <v>792</v>
      </c>
      <c r="B28" s="19">
        <v>-30.0</v>
      </c>
      <c r="C28" s="21" t="s">
        <v>784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601.62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autoFilter ref="$I$2:$K$2">
    <sortState ref="I2:K2">
      <sortCondition ref="I2"/>
      <sortCondition ref="K2"/>
    </sortState>
  </autoFilter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7.14"/>
    <col customWidth="1" min="3" max="3" width="6.57"/>
    <col customWidth="1" min="4" max="4" width="10.71"/>
    <col customWidth="1" min="5" max="5" width="10.57"/>
    <col customWidth="1" min="6" max="6" width="11.57"/>
    <col customWidth="1" min="7" max="7" width="14.71"/>
    <col customWidth="1" min="8" max="8" width="18.14"/>
    <col customWidth="1" min="9" max="9" width="12.57"/>
    <col customWidth="1" min="10" max="10" width="6.0"/>
    <col customWidth="1" min="11" max="11" width="13.29"/>
    <col customWidth="1" min="12" max="28" width="8.71"/>
  </cols>
  <sheetData>
    <row r="1" ht="14.25" customHeight="1">
      <c r="A1" s="6" t="s">
        <v>4</v>
      </c>
      <c r="B1" s="105" t="s">
        <v>793</v>
      </c>
      <c r="D1" s="68" t="s">
        <v>377</v>
      </c>
      <c r="E1" s="6" t="s">
        <v>378</v>
      </c>
      <c r="F1" s="6" t="s">
        <v>379</v>
      </c>
      <c r="G1" s="6" t="s">
        <v>380</v>
      </c>
      <c r="H1" s="69" t="s">
        <v>381</v>
      </c>
      <c r="I1" s="70" t="s">
        <v>382</v>
      </c>
      <c r="J1" s="71"/>
      <c r="K1" s="68" t="s">
        <v>383</v>
      </c>
    </row>
    <row r="2" ht="14.25" customHeight="1">
      <c r="A2" s="11" t="s">
        <v>53</v>
      </c>
      <c r="B2" s="37">
        <v>56.0</v>
      </c>
      <c r="C2" s="67"/>
      <c r="D2" s="82">
        <v>23.0</v>
      </c>
      <c r="E2" s="21">
        <v>6.0</v>
      </c>
      <c r="F2" s="21">
        <v>15.0</v>
      </c>
      <c r="G2" s="11">
        <f t="shared" ref="G2:G75" si="1">D2+E2+F2</f>
        <v>44</v>
      </c>
      <c r="H2" s="74">
        <f t="shared" ref="H2:H75" si="2">K2/(G2*3)</f>
        <v>0.5681818182</v>
      </c>
      <c r="I2" s="75">
        <f t="shared" ref="I2:I75" si="3">B2/G2</f>
        <v>1.272727273</v>
      </c>
      <c r="J2" s="67"/>
      <c r="K2" s="77">
        <f t="shared" ref="K2:K75" si="4">D2*3+E2*1+F2*0</f>
        <v>75</v>
      </c>
      <c r="N2" s="78"/>
    </row>
    <row r="3" ht="14.25" customHeight="1">
      <c r="A3" s="16" t="s">
        <v>356</v>
      </c>
      <c r="B3" s="37">
        <v>83.0</v>
      </c>
      <c r="C3" s="67"/>
      <c r="D3" s="82">
        <v>20.0</v>
      </c>
      <c r="E3" s="21">
        <v>6.0</v>
      </c>
      <c r="F3" s="21">
        <v>11.0</v>
      </c>
      <c r="G3" s="11">
        <f t="shared" si="1"/>
        <v>37</v>
      </c>
      <c r="H3" s="74">
        <f t="shared" si="2"/>
        <v>0.5945945946</v>
      </c>
      <c r="I3" s="75">
        <f t="shared" si="3"/>
        <v>2.243243243</v>
      </c>
      <c r="J3" s="67"/>
      <c r="K3" s="77">
        <f t="shared" si="4"/>
        <v>66</v>
      </c>
      <c r="N3" s="78"/>
    </row>
    <row r="4" ht="14.25" customHeight="1">
      <c r="A4" s="11" t="s">
        <v>19</v>
      </c>
      <c r="B4" s="37">
        <v>83.0</v>
      </c>
      <c r="C4" s="67"/>
      <c r="D4" s="82">
        <v>19.0</v>
      </c>
      <c r="E4" s="21">
        <v>7.0</v>
      </c>
      <c r="F4" s="21">
        <v>19.0</v>
      </c>
      <c r="G4" s="11">
        <f t="shared" si="1"/>
        <v>45</v>
      </c>
      <c r="H4" s="74">
        <f t="shared" si="2"/>
        <v>0.4740740741</v>
      </c>
      <c r="I4" s="75">
        <f t="shared" si="3"/>
        <v>1.844444444</v>
      </c>
      <c r="J4" s="67"/>
      <c r="K4" s="77">
        <f t="shared" si="4"/>
        <v>64</v>
      </c>
      <c r="N4" s="78"/>
    </row>
    <row r="5" ht="14.25" customHeight="1">
      <c r="A5" s="11" t="s">
        <v>26</v>
      </c>
      <c r="B5" s="37">
        <v>20.0</v>
      </c>
      <c r="C5" s="67"/>
      <c r="D5" s="82">
        <v>18.0</v>
      </c>
      <c r="E5" s="21">
        <v>7.0</v>
      </c>
      <c r="F5" s="21">
        <v>19.0</v>
      </c>
      <c r="G5" s="11">
        <f t="shared" si="1"/>
        <v>44</v>
      </c>
      <c r="H5" s="74">
        <f t="shared" si="2"/>
        <v>0.4621212121</v>
      </c>
      <c r="I5" s="75">
        <f t="shared" si="3"/>
        <v>0.4545454545</v>
      </c>
      <c r="J5" s="67"/>
      <c r="K5" s="77">
        <f t="shared" si="4"/>
        <v>61</v>
      </c>
    </row>
    <row r="6" ht="14.25" customHeight="1">
      <c r="A6" s="29" t="s">
        <v>269</v>
      </c>
      <c r="B6" s="37">
        <v>42.0</v>
      </c>
      <c r="C6" s="67"/>
      <c r="D6" s="82">
        <v>19.0</v>
      </c>
      <c r="E6" s="21">
        <v>2.0</v>
      </c>
      <c r="F6" s="21">
        <v>10.0</v>
      </c>
      <c r="G6" s="11">
        <f t="shared" si="1"/>
        <v>31</v>
      </c>
      <c r="H6" s="74">
        <f t="shared" si="2"/>
        <v>0.6344086022</v>
      </c>
      <c r="I6" s="75">
        <f t="shared" si="3"/>
        <v>1.35483871</v>
      </c>
      <c r="J6" s="67"/>
      <c r="K6" s="77">
        <f t="shared" si="4"/>
        <v>59</v>
      </c>
    </row>
    <row r="7" ht="14.25" customHeight="1">
      <c r="A7" s="16" t="s">
        <v>763</v>
      </c>
      <c r="B7" s="37">
        <v>47.0</v>
      </c>
      <c r="C7" s="67"/>
      <c r="D7" s="82">
        <v>18.0</v>
      </c>
      <c r="E7" s="21">
        <v>4.0</v>
      </c>
      <c r="F7" s="21">
        <v>9.0</v>
      </c>
      <c r="G7" s="11">
        <f t="shared" si="1"/>
        <v>31</v>
      </c>
      <c r="H7" s="74">
        <f t="shared" si="2"/>
        <v>0.623655914</v>
      </c>
      <c r="I7" s="75">
        <f t="shared" si="3"/>
        <v>1.516129032</v>
      </c>
      <c r="J7" s="76"/>
      <c r="K7" s="77">
        <f t="shared" si="4"/>
        <v>58</v>
      </c>
    </row>
    <row r="8" ht="14.25" customHeight="1">
      <c r="A8" s="20" t="s">
        <v>97</v>
      </c>
      <c r="B8" s="37">
        <v>11.0</v>
      </c>
      <c r="C8" s="67"/>
      <c r="D8" s="82">
        <v>17.0</v>
      </c>
      <c r="E8" s="21">
        <v>4.0</v>
      </c>
      <c r="F8" s="21">
        <v>12.0</v>
      </c>
      <c r="G8" s="11">
        <f t="shared" si="1"/>
        <v>33</v>
      </c>
      <c r="H8" s="74">
        <f t="shared" si="2"/>
        <v>0.5555555556</v>
      </c>
      <c r="I8" s="75">
        <f t="shared" si="3"/>
        <v>0.3333333333</v>
      </c>
      <c r="J8" s="67"/>
      <c r="K8" s="77">
        <f t="shared" si="4"/>
        <v>55</v>
      </c>
      <c r="N8" s="78"/>
      <c r="R8" s="36"/>
    </row>
    <row r="9" ht="14.25" customHeight="1">
      <c r="A9" s="16" t="s">
        <v>365</v>
      </c>
      <c r="B9" s="37">
        <v>50.0</v>
      </c>
      <c r="C9" s="67"/>
      <c r="D9" s="82">
        <v>15.0</v>
      </c>
      <c r="E9" s="21">
        <v>7.0</v>
      </c>
      <c r="F9" s="21">
        <v>20.0</v>
      </c>
      <c r="G9" s="11">
        <f t="shared" si="1"/>
        <v>42</v>
      </c>
      <c r="H9" s="74">
        <f t="shared" si="2"/>
        <v>0.4126984127</v>
      </c>
      <c r="I9" s="75">
        <f t="shared" si="3"/>
        <v>1.19047619</v>
      </c>
      <c r="J9" s="67"/>
      <c r="K9" s="77">
        <f t="shared" si="4"/>
        <v>52</v>
      </c>
    </row>
    <row r="10" ht="14.25" customHeight="1">
      <c r="A10" s="106" t="s">
        <v>544</v>
      </c>
      <c r="B10" s="37">
        <v>30.0</v>
      </c>
      <c r="C10" s="67"/>
      <c r="D10" s="82">
        <v>15.0</v>
      </c>
      <c r="E10" s="21">
        <v>7.0</v>
      </c>
      <c r="F10" s="21">
        <v>24.0</v>
      </c>
      <c r="G10" s="11">
        <f t="shared" si="1"/>
        <v>46</v>
      </c>
      <c r="H10" s="74">
        <f t="shared" si="2"/>
        <v>0.3768115942</v>
      </c>
      <c r="I10" s="75">
        <f t="shared" si="3"/>
        <v>0.652173913</v>
      </c>
      <c r="J10" s="76"/>
      <c r="K10" s="77">
        <f t="shared" si="4"/>
        <v>52</v>
      </c>
      <c r="N10" s="78"/>
    </row>
    <row r="11" ht="14.25" customHeight="1">
      <c r="A11" s="21" t="s">
        <v>60</v>
      </c>
      <c r="B11" s="37">
        <v>39.0</v>
      </c>
      <c r="C11" s="67"/>
      <c r="D11" s="82">
        <v>14.0</v>
      </c>
      <c r="E11" s="21">
        <v>6.0</v>
      </c>
      <c r="F11" s="21">
        <v>21.0</v>
      </c>
      <c r="G11" s="11">
        <f t="shared" si="1"/>
        <v>41</v>
      </c>
      <c r="H11" s="74">
        <f t="shared" si="2"/>
        <v>0.3902439024</v>
      </c>
      <c r="I11" s="75">
        <f t="shared" si="3"/>
        <v>0.9512195122</v>
      </c>
      <c r="J11" s="76"/>
      <c r="K11" s="77">
        <f t="shared" si="4"/>
        <v>48</v>
      </c>
      <c r="N11" s="78"/>
    </row>
    <row r="12" ht="14.25" customHeight="1">
      <c r="A12" s="16" t="s">
        <v>39</v>
      </c>
      <c r="B12" s="37">
        <v>9.0</v>
      </c>
      <c r="C12" s="67"/>
      <c r="D12" s="82">
        <v>13.0</v>
      </c>
      <c r="E12" s="21">
        <v>5.0</v>
      </c>
      <c r="F12" s="21">
        <v>19.0</v>
      </c>
      <c r="G12" s="11">
        <f t="shared" si="1"/>
        <v>37</v>
      </c>
      <c r="H12" s="74">
        <f t="shared" si="2"/>
        <v>0.3963963964</v>
      </c>
      <c r="I12" s="75">
        <f t="shared" si="3"/>
        <v>0.2432432432</v>
      </c>
      <c r="J12" s="67"/>
      <c r="K12" s="77">
        <f t="shared" si="4"/>
        <v>44</v>
      </c>
      <c r="N12" s="78"/>
    </row>
    <row r="13" ht="14.25" customHeight="1">
      <c r="A13" s="21" t="s">
        <v>43</v>
      </c>
      <c r="B13" s="81">
        <v>12.0</v>
      </c>
      <c r="C13" s="67"/>
      <c r="D13" s="82">
        <v>12.0</v>
      </c>
      <c r="E13" s="21">
        <v>4.0</v>
      </c>
      <c r="F13" s="21">
        <v>10.0</v>
      </c>
      <c r="G13" s="11">
        <f t="shared" si="1"/>
        <v>26</v>
      </c>
      <c r="H13" s="74">
        <f t="shared" si="2"/>
        <v>0.5128205128</v>
      </c>
      <c r="I13" s="75">
        <f t="shared" si="3"/>
        <v>0.4615384615</v>
      </c>
      <c r="J13" s="76"/>
      <c r="K13" s="77">
        <f t="shared" si="4"/>
        <v>40</v>
      </c>
    </row>
    <row r="14" ht="14.25" customHeight="1">
      <c r="A14" s="16" t="s">
        <v>180</v>
      </c>
      <c r="B14" s="37">
        <v>0.0</v>
      </c>
      <c r="C14" s="67"/>
      <c r="D14" s="73">
        <v>11.0</v>
      </c>
      <c r="E14" s="16">
        <v>1.0</v>
      </c>
      <c r="F14" s="16">
        <v>6.0</v>
      </c>
      <c r="G14" s="11">
        <f t="shared" si="1"/>
        <v>18</v>
      </c>
      <c r="H14" s="74">
        <f t="shared" si="2"/>
        <v>0.6296296296</v>
      </c>
      <c r="I14" s="75">
        <f t="shared" si="3"/>
        <v>0</v>
      </c>
      <c r="J14" s="76"/>
      <c r="K14" s="77">
        <f t="shared" si="4"/>
        <v>34</v>
      </c>
    </row>
    <row r="15" ht="14.25" customHeight="1">
      <c r="A15" s="102" t="s">
        <v>126</v>
      </c>
      <c r="B15" s="81">
        <v>9.0</v>
      </c>
      <c r="C15" s="67"/>
      <c r="D15" s="82">
        <v>10.0</v>
      </c>
      <c r="E15" s="21">
        <v>2.0</v>
      </c>
      <c r="F15" s="21">
        <v>9.0</v>
      </c>
      <c r="G15" s="11">
        <f t="shared" si="1"/>
        <v>21</v>
      </c>
      <c r="H15" s="74">
        <f t="shared" si="2"/>
        <v>0.5079365079</v>
      </c>
      <c r="I15" s="75">
        <f t="shared" si="3"/>
        <v>0.4285714286</v>
      </c>
      <c r="J15" s="76"/>
      <c r="K15" s="77">
        <f t="shared" si="4"/>
        <v>32</v>
      </c>
      <c r="N15" s="78"/>
    </row>
    <row r="16" ht="14.25" customHeight="1">
      <c r="A16" s="16" t="s">
        <v>776</v>
      </c>
      <c r="B16" s="16">
        <v>0.0</v>
      </c>
      <c r="C16" s="67"/>
      <c r="D16" s="73">
        <v>10.0</v>
      </c>
      <c r="E16" s="16">
        <v>2.0</v>
      </c>
      <c r="F16" s="16">
        <v>12.0</v>
      </c>
      <c r="G16" s="11">
        <f t="shared" si="1"/>
        <v>24</v>
      </c>
      <c r="H16" s="74">
        <f t="shared" si="2"/>
        <v>0.4444444444</v>
      </c>
      <c r="I16" s="75">
        <f t="shared" si="3"/>
        <v>0</v>
      </c>
      <c r="J16" s="76"/>
      <c r="K16" s="77">
        <f t="shared" si="4"/>
        <v>32</v>
      </c>
    </row>
    <row r="17" ht="14.25" customHeight="1">
      <c r="A17" s="11" t="s">
        <v>42</v>
      </c>
      <c r="B17" s="16">
        <v>3.0</v>
      </c>
      <c r="C17" s="67"/>
      <c r="D17" s="21">
        <v>8.0</v>
      </c>
      <c r="E17" s="21">
        <v>4.0</v>
      </c>
      <c r="F17" s="21">
        <v>14.0</v>
      </c>
      <c r="G17" s="11">
        <f t="shared" si="1"/>
        <v>26</v>
      </c>
      <c r="H17" s="74">
        <f t="shared" si="2"/>
        <v>0.358974359</v>
      </c>
      <c r="I17" s="75">
        <f t="shared" si="3"/>
        <v>0.1153846154</v>
      </c>
      <c r="J17" s="67"/>
      <c r="K17" s="77">
        <f t="shared" si="4"/>
        <v>28</v>
      </c>
    </row>
    <row r="18" ht="14.25" customHeight="1">
      <c r="A18" s="16" t="s">
        <v>208</v>
      </c>
      <c r="B18" s="16">
        <v>1.0</v>
      </c>
      <c r="D18" s="21">
        <v>8.0</v>
      </c>
      <c r="E18" s="21">
        <v>2.0</v>
      </c>
      <c r="F18" s="21">
        <v>9.0</v>
      </c>
      <c r="G18" s="11">
        <f t="shared" si="1"/>
        <v>19</v>
      </c>
      <c r="H18" s="74">
        <f t="shared" si="2"/>
        <v>0.4561403509</v>
      </c>
      <c r="I18" s="86">
        <f t="shared" si="3"/>
        <v>0.05263157895</v>
      </c>
      <c r="J18" s="94"/>
      <c r="K18" s="11">
        <f t="shared" si="4"/>
        <v>26</v>
      </c>
      <c r="N18" s="78"/>
    </row>
    <row r="19" ht="14.25" customHeight="1">
      <c r="A19" s="21" t="s">
        <v>95</v>
      </c>
      <c r="B19" s="21">
        <v>2.0</v>
      </c>
      <c r="D19" s="21">
        <v>7.0</v>
      </c>
      <c r="E19" s="21">
        <v>4.0</v>
      </c>
      <c r="F19" s="21">
        <v>8.0</v>
      </c>
      <c r="G19" s="11">
        <f t="shared" si="1"/>
        <v>19</v>
      </c>
      <c r="H19" s="74">
        <f t="shared" si="2"/>
        <v>0.4385964912</v>
      </c>
      <c r="I19" s="86">
        <f t="shared" si="3"/>
        <v>0.1052631579</v>
      </c>
      <c r="K19" s="11">
        <f t="shared" si="4"/>
        <v>25</v>
      </c>
    </row>
    <row r="20" ht="14.25" customHeight="1">
      <c r="A20" s="16" t="s">
        <v>37</v>
      </c>
      <c r="B20" s="16">
        <v>24.0</v>
      </c>
      <c r="D20" s="21">
        <v>7.0</v>
      </c>
      <c r="E20" s="21">
        <v>2.0</v>
      </c>
      <c r="F20" s="21">
        <v>3.0</v>
      </c>
      <c r="G20" s="11">
        <f t="shared" si="1"/>
        <v>12</v>
      </c>
      <c r="H20" s="74">
        <f t="shared" si="2"/>
        <v>0.6388888889</v>
      </c>
      <c r="I20" s="86">
        <f t="shared" si="3"/>
        <v>2</v>
      </c>
      <c r="J20" s="94"/>
      <c r="K20" s="11">
        <f t="shared" si="4"/>
        <v>23</v>
      </c>
    </row>
    <row r="21" ht="14.25" customHeight="1">
      <c r="A21" s="21" t="s">
        <v>348</v>
      </c>
      <c r="B21" s="16">
        <v>20.0</v>
      </c>
      <c r="D21" s="21">
        <v>7.0</v>
      </c>
      <c r="E21" s="21">
        <v>0.0</v>
      </c>
      <c r="F21" s="21">
        <v>5.0</v>
      </c>
      <c r="G21" s="11">
        <f t="shared" si="1"/>
        <v>12</v>
      </c>
      <c r="H21" s="74">
        <f t="shared" si="2"/>
        <v>0.5833333333</v>
      </c>
      <c r="I21" s="86">
        <f t="shared" si="3"/>
        <v>1.666666667</v>
      </c>
      <c r="K21" s="11">
        <f t="shared" si="4"/>
        <v>21</v>
      </c>
    </row>
    <row r="22" ht="14.25" hidden="1" customHeight="1">
      <c r="A22" s="11" t="s">
        <v>74</v>
      </c>
      <c r="B22" s="16">
        <v>0.0</v>
      </c>
      <c r="D22" s="21">
        <v>0.0</v>
      </c>
      <c r="E22" s="21">
        <v>0.0</v>
      </c>
      <c r="F22" s="21">
        <v>0.0</v>
      </c>
      <c r="G22" s="11">
        <f t="shared" si="1"/>
        <v>0</v>
      </c>
      <c r="H22" s="74" t="str">
        <f t="shared" si="2"/>
        <v>#DIV/0!</v>
      </c>
      <c r="I22" s="86" t="str">
        <f t="shared" si="3"/>
        <v>#DIV/0!</v>
      </c>
      <c r="K22" s="11">
        <f t="shared" si="4"/>
        <v>0</v>
      </c>
    </row>
    <row r="23" ht="14.25" customHeight="1">
      <c r="A23" s="107" t="s">
        <v>33</v>
      </c>
      <c r="B23" s="16">
        <v>12.0</v>
      </c>
      <c r="D23" s="21">
        <v>5.0</v>
      </c>
      <c r="E23" s="21">
        <v>3.0</v>
      </c>
      <c r="F23" s="21">
        <v>7.0</v>
      </c>
      <c r="G23" s="11">
        <f t="shared" si="1"/>
        <v>15</v>
      </c>
      <c r="H23" s="74">
        <f t="shared" si="2"/>
        <v>0.4</v>
      </c>
      <c r="I23" s="86">
        <f t="shared" si="3"/>
        <v>0.8</v>
      </c>
      <c r="J23" s="94"/>
      <c r="K23" s="11">
        <f t="shared" si="4"/>
        <v>18</v>
      </c>
      <c r="N23" s="78"/>
    </row>
    <row r="24" ht="14.25" customHeight="1">
      <c r="A24" s="21" t="s">
        <v>131</v>
      </c>
      <c r="B24" s="21">
        <v>1.0</v>
      </c>
      <c r="D24" s="21">
        <v>5.0</v>
      </c>
      <c r="E24" s="21">
        <v>1.0</v>
      </c>
      <c r="F24" s="21">
        <v>1.0</v>
      </c>
      <c r="G24" s="11">
        <f t="shared" si="1"/>
        <v>7</v>
      </c>
      <c r="H24" s="74">
        <f t="shared" si="2"/>
        <v>0.7619047619</v>
      </c>
      <c r="I24" s="86">
        <f t="shared" si="3"/>
        <v>0.1428571429</v>
      </c>
      <c r="J24" s="94"/>
      <c r="K24" s="11">
        <f t="shared" si="4"/>
        <v>16</v>
      </c>
    </row>
    <row r="25" ht="14.25" customHeight="1">
      <c r="A25" s="21" t="s">
        <v>709</v>
      </c>
      <c r="B25" s="21">
        <v>6.0</v>
      </c>
      <c r="D25" s="21">
        <v>4.0</v>
      </c>
      <c r="E25" s="21">
        <v>1.0</v>
      </c>
      <c r="F25" s="21">
        <v>4.0</v>
      </c>
      <c r="G25" s="11">
        <f t="shared" si="1"/>
        <v>9</v>
      </c>
      <c r="H25" s="74">
        <f t="shared" si="2"/>
        <v>0.4814814815</v>
      </c>
      <c r="I25" s="86">
        <f t="shared" si="3"/>
        <v>0.6666666667</v>
      </c>
      <c r="J25" s="94"/>
      <c r="K25" s="11">
        <f t="shared" si="4"/>
        <v>13</v>
      </c>
    </row>
    <row r="26" ht="14.25" customHeight="1">
      <c r="A26" s="21" t="s">
        <v>704</v>
      </c>
      <c r="B26" s="21">
        <v>12.0</v>
      </c>
      <c r="D26" s="21">
        <v>3.0</v>
      </c>
      <c r="E26" s="21">
        <v>3.0</v>
      </c>
      <c r="F26" s="21">
        <v>0.0</v>
      </c>
      <c r="G26" s="11">
        <f t="shared" si="1"/>
        <v>6</v>
      </c>
      <c r="H26" s="74">
        <f t="shared" si="2"/>
        <v>0.6666666667</v>
      </c>
      <c r="I26" s="86">
        <f t="shared" si="3"/>
        <v>2</v>
      </c>
      <c r="J26" s="94"/>
      <c r="K26" s="11">
        <f t="shared" si="4"/>
        <v>12</v>
      </c>
    </row>
    <row r="27" ht="14.25" customHeight="1">
      <c r="A27" s="20" t="s">
        <v>243</v>
      </c>
      <c r="B27" s="16">
        <v>3.0</v>
      </c>
      <c r="D27" s="21">
        <v>3.0</v>
      </c>
      <c r="E27" s="21">
        <v>2.0</v>
      </c>
      <c r="F27" s="21">
        <v>1.0</v>
      </c>
      <c r="G27" s="11">
        <f t="shared" si="1"/>
        <v>6</v>
      </c>
      <c r="H27" s="74">
        <f t="shared" si="2"/>
        <v>0.6111111111</v>
      </c>
      <c r="I27" s="86">
        <f t="shared" si="3"/>
        <v>0.5</v>
      </c>
      <c r="J27" s="94"/>
      <c r="K27" s="11">
        <f t="shared" si="4"/>
        <v>11</v>
      </c>
      <c r="N27" s="78"/>
    </row>
    <row r="28" ht="14.25" customHeight="1">
      <c r="A28" s="16" t="s">
        <v>489</v>
      </c>
      <c r="B28" s="16">
        <v>4.0</v>
      </c>
      <c r="D28" s="16">
        <v>3.0</v>
      </c>
      <c r="E28" s="16">
        <v>1.0</v>
      </c>
      <c r="F28" s="16">
        <v>1.0</v>
      </c>
      <c r="G28" s="11">
        <f t="shared" si="1"/>
        <v>5</v>
      </c>
      <c r="H28" s="74">
        <f t="shared" si="2"/>
        <v>0.6666666667</v>
      </c>
      <c r="I28" s="86">
        <f t="shared" si="3"/>
        <v>0.8</v>
      </c>
      <c r="J28" s="94"/>
      <c r="K28" s="11">
        <f t="shared" si="4"/>
        <v>10</v>
      </c>
    </row>
    <row r="29" ht="14.25" hidden="1" customHeight="1">
      <c r="A29" s="16" t="s">
        <v>293</v>
      </c>
      <c r="B29" s="16">
        <v>0.0</v>
      </c>
      <c r="D29" s="21">
        <v>0.0</v>
      </c>
      <c r="E29" s="21">
        <v>0.0</v>
      </c>
      <c r="F29" s="21">
        <v>0.0</v>
      </c>
      <c r="G29" s="11">
        <f t="shared" si="1"/>
        <v>0</v>
      </c>
      <c r="H29" s="74" t="str">
        <f t="shared" si="2"/>
        <v>#DIV/0!</v>
      </c>
      <c r="I29" s="86" t="str">
        <f t="shared" si="3"/>
        <v>#DIV/0!</v>
      </c>
      <c r="K29" s="11">
        <f t="shared" si="4"/>
        <v>0</v>
      </c>
      <c r="N29" s="78"/>
    </row>
    <row r="30" ht="14.25" customHeight="1">
      <c r="A30" s="21" t="s">
        <v>290</v>
      </c>
      <c r="B30" s="21">
        <v>7.0</v>
      </c>
      <c r="D30" s="21">
        <v>3.0</v>
      </c>
      <c r="E30" s="21">
        <v>0.0</v>
      </c>
      <c r="F30" s="21">
        <v>2.0</v>
      </c>
      <c r="G30" s="11">
        <f t="shared" si="1"/>
        <v>5</v>
      </c>
      <c r="H30" s="74">
        <f t="shared" si="2"/>
        <v>0.6</v>
      </c>
      <c r="I30" s="86">
        <f t="shared" si="3"/>
        <v>1.4</v>
      </c>
      <c r="K30" s="11">
        <f t="shared" si="4"/>
        <v>9</v>
      </c>
    </row>
    <row r="31" ht="14.25" customHeight="1">
      <c r="A31" s="21" t="s">
        <v>41</v>
      </c>
      <c r="B31" s="21">
        <v>8.0</v>
      </c>
      <c r="D31" s="21">
        <v>2.0</v>
      </c>
      <c r="E31" s="21">
        <v>0.0</v>
      </c>
      <c r="F31" s="21">
        <v>5.0</v>
      </c>
      <c r="G31" s="11">
        <f t="shared" si="1"/>
        <v>7</v>
      </c>
      <c r="H31" s="85">
        <f t="shared" si="2"/>
        <v>0.2857142857</v>
      </c>
      <c r="I31" s="86">
        <f t="shared" si="3"/>
        <v>1.142857143</v>
      </c>
      <c r="J31" s="94"/>
      <c r="K31" s="11">
        <f t="shared" si="4"/>
        <v>6</v>
      </c>
    </row>
    <row r="32" ht="14.25" hidden="1" customHeight="1">
      <c r="A32" s="21"/>
      <c r="B32" s="16"/>
      <c r="D32" s="16"/>
      <c r="E32" s="16"/>
      <c r="F32" s="16"/>
      <c r="G32" s="11">
        <f t="shared" si="1"/>
        <v>0</v>
      </c>
      <c r="H32" s="85" t="str">
        <f t="shared" si="2"/>
        <v>#DIV/0!</v>
      </c>
      <c r="I32" s="86" t="str">
        <f t="shared" si="3"/>
        <v>#DIV/0!</v>
      </c>
      <c r="J32" s="94"/>
      <c r="K32" s="11">
        <f t="shared" si="4"/>
        <v>0</v>
      </c>
      <c r="N32" s="78"/>
    </row>
    <row r="33" ht="14.25" hidden="1" customHeight="1">
      <c r="A33" s="11"/>
      <c r="B33" s="16"/>
      <c r="D33" s="16"/>
      <c r="E33" s="16"/>
      <c r="F33" s="16"/>
      <c r="G33" s="11">
        <f t="shared" si="1"/>
        <v>0</v>
      </c>
      <c r="H33" s="85" t="str">
        <f t="shared" si="2"/>
        <v>#DIV/0!</v>
      </c>
      <c r="I33" s="86" t="str">
        <f t="shared" si="3"/>
        <v>#DIV/0!</v>
      </c>
      <c r="J33" s="94"/>
      <c r="K33" s="11">
        <f t="shared" si="4"/>
        <v>0</v>
      </c>
      <c r="N33" s="78"/>
    </row>
    <row r="34" ht="14.25" hidden="1" customHeight="1">
      <c r="A34" s="16"/>
      <c r="B34" s="16"/>
      <c r="D34" s="16"/>
      <c r="E34" s="16"/>
      <c r="F34" s="16"/>
      <c r="G34" s="11">
        <f t="shared" si="1"/>
        <v>0</v>
      </c>
      <c r="H34" s="85" t="str">
        <f t="shared" si="2"/>
        <v>#DIV/0!</v>
      </c>
      <c r="I34" s="86" t="str">
        <f t="shared" si="3"/>
        <v>#DIV/0!</v>
      </c>
      <c r="J34" s="94"/>
      <c r="K34" s="11">
        <f t="shared" si="4"/>
        <v>0</v>
      </c>
      <c r="N34" s="78"/>
    </row>
    <row r="35" ht="14.25" hidden="1" customHeight="1">
      <c r="A35" s="16"/>
      <c r="B35" s="16"/>
      <c r="D35" s="16"/>
      <c r="E35" s="16"/>
      <c r="F35" s="16"/>
      <c r="G35" s="11">
        <f t="shared" si="1"/>
        <v>0</v>
      </c>
      <c r="H35" s="85" t="str">
        <f t="shared" si="2"/>
        <v>#DIV/0!</v>
      </c>
      <c r="I35" s="86" t="str">
        <f t="shared" si="3"/>
        <v>#DIV/0!</v>
      </c>
      <c r="J35" s="47"/>
      <c r="K35" s="11">
        <f t="shared" si="4"/>
        <v>0</v>
      </c>
      <c r="N35" s="78"/>
    </row>
    <row r="36" ht="14.25" hidden="1" customHeight="1">
      <c r="A36" s="11"/>
      <c r="B36" s="16"/>
      <c r="D36" s="16"/>
      <c r="E36" s="16"/>
      <c r="F36" s="16"/>
      <c r="G36" s="11">
        <f t="shared" si="1"/>
        <v>0</v>
      </c>
      <c r="H36" s="85" t="str">
        <f t="shared" si="2"/>
        <v>#DIV/0!</v>
      </c>
      <c r="I36" s="86" t="str">
        <f t="shared" si="3"/>
        <v>#DIV/0!</v>
      </c>
      <c r="J36" s="94"/>
      <c r="K36" s="11">
        <f t="shared" si="4"/>
        <v>0</v>
      </c>
    </row>
    <row r="37" ht="14.25" hidden="1" customHeight="1">
      <c r="A37" s="16"/>
      <c r="B37" s="16"/>
      <c r="D37" s="16"/>
      <c r="E37" s="16"/>
      <c r="F37" s="16"/>
      <c r="G37" s="11">
        <f t="shared" si="1"/>
        <v>0</v>
      </c>
      <c r="H37" s="85" t="str">
        <f t="shared" si="2"/>
        <v>#DIV/0!</v>
      </c>
      <c r="I37" s="86" t="str">
        <f t="shared" si="3"/>
        <v>#DIV/0!</v>
      </c>
      <c r="J37" s="94"/>
      <c r="K37" s="11">
        <f t="shared" si="4"/>
        <v>0</v>
      </c>
      <c r="N37" s="78"/>
    </row>
    <row r="38" ht="14.25" hidden="1" customHeight="1">
      <c r="A38" s="21"/>
      <c r="B38" s="16"/>
      <c r="D38" s="21"/>
      <c r="E38" s="21"/>
      <c r="F38" s="21"/>
      <c r="G38" s="11">
        <f t="shared" si="1"/>
        <v>0</v>
      </c>
      <c r="H38" s="85" t="str">
        <f t="shared" si="2"/>
        <v>#DIV/0!</v>
      </c>
      <c r="I38" s="86" t="str">
        <f t="shared" si="3"/>
        <v>#DIV/0!</v>
      </c>
      <c r="K38" s="11">
        <f t="shared" si="4"/>
        <v>0</v>
      </c>
      <c r="N38" s="78"/>
    </row>
    <row r="39" ht="14.25" hidden="1" customHeight="1">
      <c r="A39" s="21"/>
      <c r="B39" s="16"/>
      <c r="D39" s="21"/>
      <c r="E39" s="21"/>
      <c r="F39" s="21"/>
      <c r="G39" s="11">
        <f t="shared" si="1"/>
        <v>0</v>
      </c>
      <c r="H39" s="85" t="str">
        <f t="shared" si="2"/>
        <v>#DIV/0!</v>
      </c>
      <c r="I39" s="86" t="str">
        <f t="shared" si="3"/>
        <v>#DIV/0!</v>
      </c>
      <c r="K39" s="11">
        <f t="shared" si="4"/>
        <v>0</v>
      </c>
      <c r="N39" s="78"/>
    </row>
    <row r="40" ht="14.25" hidden="1" customHeight="1">
      <c r="A40" s="21"/>
      <c r="B40" s="16"/>
      <c r="D40" s="21"/>
      <c r="E40" s="21"/>
      <c r="F40" s="21"/>
      <c r="G40" s="11">
        <f t="shared" si="1"/>
        <v>0</v>
      </c>
      <c r="H40" s="85" t="str">
        <f t="shared" si="2"/>
        <v>#DIV/0!</v>
      </c>
      <c r="I40" s="86" t="str">
        <f t="shared" si="3"/>
        <v>#DIV/0!</v>
      </c>
      <c r="K40" s="11">
        <f t="shared" si="4"/>
        <v>0</v>
      </c>
    </row>
    <row r="41" ht="14.25" hidden="1" customHeight="1">
      <c r="A41" s="21"/>
      <c r="B41" s="16"/>
      <c r="D41" s="21"/>
      <c r="E41" s="21"/>
      <c r="F41" s="21"/>
      <c r="G41" s="11">
        <f t="shared" si="1"/>
        <v>0</v>
      </c>
      <c r="H41" s="85" t="str">
        <f t="shared" si="2"/>
        <v>#DIV/0!</v>
      </c>
      <c r="I41" s="86" t="str">
        <f t="shared" si="3"/>
        <v>#DIV/0!</v>
      </c>
      <c r="K41" s="11">
        <f t="shared" si="4"/>
        <v>0</v>
      </c>
    </row>
    <row r="42" ht="14.25" hidden="1" customHeight="1">
      <c r="A42" s="21"/>
      <c r="B42" s="21"/>
      <c r="D42" s="21"/>
      <c r="E42" s="21"/>
      <c r="F42" s="21"/>
      <c r="G42" s="11">
        <f t="shared" si="1"/>
        <v>0</v>
      </c>
      <c r="H42" s="85" t="str">
        <f t="shared" si="2"/>
        <v>#DIV/0!</v>
      </c>
      <c r="I42" s="86" t="str">
        <f t="shared" si="3"/>
        <v>#DIV/0!</v>
      </c>
      <c r="K42" s="11">
        <f t="shared" si="4"/>
        <v>0</v>
      </c>
      <c r="U42" s="50"/>
      <c r="V42" s="50"/>
    </row>
    <row r="43" ht="14.25" hidden="1" customHeight="1">
      <c r="A43" s="21"/>
      <c r="B43" s="21"/>
      <c r="D43" s="21"/>
      <c r="E43" s="21"/>
      <c r="F43" s="21"/>
      <c r="G43" s="11">
        <f t="shared" si="1"/>
        <v>0</v>
      </c>
      <c r="H43" s="85" t="str">
        <f t="shared" si="2"/>
        <v>#DIV/0!</v>
      </c>
      <c r="I43" s="86" t="str">
        <f t="shared" si="3"/>
        <v>#DIV/0!</v>
      </c>
      <c r="K43" s="11">
        <f t="shared" si="4"/>
        <v>0</v>
      </c>
      <c r="N43" s="78"/>
      <c r="U43" s="50"/>
      <c r="V43" s="50"/>
    </row>
    <row r="44" ht="14.25" hidden="1" customHeight="1">
      <c r="A44" s="21"/>
      <c r="B44" s="16"/>
      <c r="D44" s="21"/>
      <c r="E44" s="21"/>
      <c r="F44" s="21"/>
      <c r="G44" s="11">
        <f t="shared" si="1"/>
        <v>0</v>
      </c>
      <c r="H44" s="85" t="str">
        <f t="shared" si="2"/>
        <v>#DIV/0!</v>
      </c>
      <c r="I44" s="86" t="str">
        <f t="shared" si="3"/>
        <v>#DIV/0!</v>
      </c>
      <c r="K44" s="11">
        <f t="shared" si="4"/>
        <v>0</v>
      </c>
    </row>
    <row r="45" ht="14.25" hidden="1" customHeight="1">
      <c r="A45" s="21"/>
      <c r="B45" s="16"/>
      <c r="D45" s="21"/>
      <c r="E45" s="21"/>
      <c r="F45" s="21"/>
      <c r="G45" s="11">
        <f t="shared" si="1"/>
        <v>0</v>
      </c>
      <c r="H45" s="85" t="str">
        <f t="shared" si="2"/>
        <v>#DIV/0!</v>
      </c>
      <c r="I45" s="86" t="str">
        <f t="shared" si="3"/>
        <v>#DIV/0!</v>
      </c>
      <c r="K45" s="11">
        <f t="shared" si="4"/>
        <v>0</v>
      </c>
    </row>
    <row r="46" ht="14.25" hidden="1" customHeight="1">
      <c r="A46" s="21"/>
      <c r="B46" s="16"/>
      <c r="D46" s="21"/>
      <c r="E46" s="21"/>
      <c r="F46" s="21"/>
      <c r="G46" s="11">
        <f t="shared" si="1"/>
        <v>0</v>
      </c>
      <c r="H46" s="85" t="str">
        <f t="shared" si="2"/>
        <v>#DIV/0!</v>
      </c>
      <c r="I46" s="86" t="str">
        <f t="shared" si="3"/>
        <v>#DIV/0!</v>
      </c>
      <c r="K46" s="11">
        <f t="shared" si="4"/>
        <v>0</v>
      </c>
    </row>
    <row r="47" ht="14.25" hidden="1" customHeight="1">
      <c r="A47" s="21"/>
      <c r="B47" s="21"/>
      <c r="D47" s="21"/>
      <c r="E47" s="21"/>
      <c r="F47" s="21"/>
      <c r="G47" s="11">
        <f t="shared" si="1"/>
        <v>0</v>
      </c>
      <c r="H47" s="85" t="str">
        <f t="shared" si="2"/>
        <v>#DIV/0!</v>
      </c>
      <c r="I47" s="86" t="str">
        <f t="shared" si="3"/>
        <v>#DIV/0!</v>
      </c>
      <c r="K47" s="11">
        <f t="shared" si="4"/>
        <v>0</v>
      </c>
      <c r="N47" s="78"/>
    </row>
    <row r="48" ht="14.25" hidden="1" customHeight="1">
      <c r="A48" s="21"/>
      <c r="B48" s="16"/>
      <c r="D48" s="21"/>
      <c r="E48" s="21"/>
      <c r="F48" s="21"/>
      <c r="G48" s="11">
        <f t="shared" si="1"/>
        <v>0</v>
      </c>
      <c r="H48" s="85" t="str">
        <f t="shared" si="2"/>
        <v>#DIV/0!</v>
      </c>
      <c r="I48" s="86" t="str">
        <f t="shared" si="3"/>
        <v>#DIV/0!</v>
      </c>
      <c r="J48" s="94"/>
      <c r="K48" s="11">
        <f t="shared" si="4"/>
        <v>0</v>
      </c>
      <c r="N48" s="78"/>
    </row>
    <row r="49" ht="14.25" hidden="1" customHeight="1">
      <c r="A49" s="21"/>
      <c r="B49" s="16"/>
      <c r="D49" s="21"/>
      <c r="E49" s="21"/>
      <c r="F49" s="21"/>
      <c r="G49" s="11">
        <f t="shared" si="1"/>
        <v>0</v>
      </c>
      <c r="H49" s="85" t="str">
        <f t="shared" si="2"/>
        <v>#DIV/0!</v>
      </c>
      <c r="I49" s="86" t="str">
        <f t="shared" si="3"/>
        <v>#DIV/0!</v>
      </c>
      <c r="K49" s="11">
        <f t="shared" si="4"/>
        <v>0</v>
      </c>
      <c r="N49" s="78"/>
    </row>
    <row r="50" ht="14.25" hidden="1" customHeight="1">
      <c r="A50" s="16"/>
      <c r="B50" s="16"/>
      <c r="D50" s="16"/>
      <c r="E50" s="16"/>
      <c r="F50" s="16"/>
      <c r="G50" s="11">
        <f t="shared" si="1"/>
        <v>0</v>
      </c>
      <c r="H50" s="85" t="str">
        <f t="shared" si="2"/>
        <v>#DIV/0!</v>
      </c>
      <c r="I50" s="86" t="str">
        <f t="shared" si="3"/>
        <v>#DIV/0!</v>
      </c>
      <c r="J50" s="94"/>
      <c r="K50" s="11">
        <f t="shared" si="4"/>
        <v>0</v>
      </c>
    </row>
    <row r="51" ht="14.25" hidden="1" customHeight="1">
      <c r="A51" s="21"/>
      <c r="B51" s="16"/>
      <c r="D51" s="21"/>
      <c r="E51" s="21"/>
      <c r="F51" s="21"/>
      <c r="G51" s="11">
        <f t="shared" si="1"/>
        <v>0</v>
      </c>
      <c r="H51" s="85" t="str">
        <f t="shared" si="2"/>
        <v>#DIV/0!</v>
      </c>
      <c r="I51" s="86" t="str">
        <f t="shared" si="3"/>
        <v>#DIV/0!</v>
      </c>
      <c r="K51" s="11">
        <f t="shared" si="4"/>
        <v>0</v>
      </c>
    </row>
    <row r="52" ht="14.25" hidden="1" customHeight="1">
      <c r="A52" s="21"/>
      <c r="B52" s="16"/>
      <c r="D52" s="21"/>
      <c r="E52" s="21"/>
      <c r="F52" s="21"/>
      <c r="G52" s="11">
        <f t="shared" si="1"/>
        <v>0</v>
      </c>
      <c r="H52" s="85" t="str">
        <f t="shared" si="2"/>
        <v>#DIV/0!</v>
      </c>
      <c r="I52" s="86" t="str">
        <f t="shared" si="3"/>
        <v>#DIV/0!</v>
      </c>
      <c r="K52" s="11">
        <f t="shared" si="4"/>
        <v>0</v>
      </c>
    </row>
    <row r="53" ht="14.25" hidden="1" customHeight="1">
      <c r="A53" s="21"/>
      <c r="B53" s="21"/>
      <c r="D53" s="21"/>
      <c r="E53" s="21"/>
      <c r="F53" s="21"/>
      <c r="G53" s="11">
        <f t="shared" si="1"/>
        <v>0</v>
      </c>
      <c r="H53" s="85" t="str">
        <f t="shared" si="2"/>
        <v>#DIV/0!</v>
      </c>
      <c r="I53" s="86" t="str">
        <f t="shared" si="3"/>
        <v>#DIV/0!</v>
      </c>
      <c r="K53" s="11">
        <f t="shared" si="4"/>
        <v>0</v>
      </c>
    </row>
    <row r="54" ht="14.25" customHeight="1">
      <c r="A54" s="106" t="s">
        <v>589</v>
      </c>
      <c r="B54" s="16">
        <v>4.0</v>
      </c>
      <c r="D54" s="21">
        <v>1.0</v>
      </c>
      <c r="E54" s="21">
        <v>1.0</v>
      </c>
      <c r="F54" s="21">
        <v>1.0</v>
      </c>
      <c r="G54" s="11">
        <f t="shared" si="1"/>
        <v>3</v>
      </c>
      <c r="H54" s="85">
        <f t="shared" si="2"/>
        <v>0.4444444444</v>
      </c>
      <c r="I54" s="86">
        <f t="shared" si="3"/>
        <v>1.333333333</v>
      </c>
      <c r="J54" s="94"/>
      <c r="K54" s="11">
        <f t="shared" si="4"/>
        <v>4</v>
      </c>
    </row>
    <row r="55" ht="14.25" customHeight="1">
      <c r="A55" s="21" t="s">
        <v>187</v>
      </c>
      <c r="B55" s="21">
        <v>3.0</v>
      </c>
      <c r="D55" s="21">
        <v>1.0</v>
      </c>
      <c r="E55" s="21">
        <v>1.0</v>
      </c>
      <c r="F55" s="21">
        <v>1.0</v>
      </c>
      <c r="G55" s="11">
        <f t="shared" si="1"/>
        <v>3</v>
      </c>
      <c r="H55" s="85">
        <f t="shared" si="2"/>
        <v>0.4444444444</v>
      </c>
      <c r="I55" s="86">
        <f t="shared" si="3"/>
        <v>1</v>
      </c>
      <c r="J55" s="94"/>
      <c r="K55" s="11">
        <f t="shared" si="4"/>
        <v>4</v>
      </c>
    </row>
    <row r="56" ht="14.25" customHeight="1">
      <c r="A56" s="16" t="s">
        <v>213</v>
      </c>
      <c r="B56" s="16">
        <v>3.0</v>
      </c>
      <c r="D56" s="16">
        <v>1.0</v>
      </c>
      <c r="E56" s="16">
        <v>1.0</v>
      </c>
      <c r="F56" s="16">
        <v>1.0</v>
      </c>
      <c r="G56" s="11">
        <f t="shared" si="1"/>
        <v>3</v>
      </c>
      <c r="H56" s="85">
        <f t="shared" si="2"/>
        <v>0.4444444444</v>
      </c>
      <c r="I56" s="86">
        <f t="shared" si="3"/>
        <v>1</v>
      </c>
      <c r="J56" s="94"/>
      <c r="K56" s="11">
        <f t="shared" si="4"/>
        <v>4</v>
      </c>
      <c r="N56" s="78"/>
    </row>
    <row r="57" ht="14.25" customHeight="1">
      <c r="A57" s="21" t="s">
        <v>100</v>
      </c>
      <c r="B57" s="21">
        <v>3.0</v>
      </c>
      <c r="D57" s="21">
        <v>1.0</v>
      </c>
      <c r="E57" s="21">
        <v>0.0</v>
      </c>
      <c r="F57" s="21">
        <v>3.0</v>
      </c>
      <c r="G57" s="11">
        <f t="shared" si="1"/>
        <v>4</v>
      </c>
      <c r="H57" s="85">
        <f t="shared" si="2"/>
        <v>0.25</v>
      </c>
      <c r="I57" s="86">
        <f t="shared" si="3"/>
        <v>0.75</v>
      </c>
      <c r="J57" s="94"/>
      <c r="K57" s="11">
        <f t="shared" si="4"/>
        <v>3</v>
      </c>
    </row>
    <row r="58" ht="14.25" customHeight="1">
      <c r="A58" s="21" t="s">
        <v>714</v>
      </c>
      <c r="B58" s="21">
        <v>3.0</v>
      </c>
      <c r="D58" s="21">
        <v>1.0</v>
      </c>
      <c r="E58" s="21">
        <v>0.0</v>
      </c>
      <c r="F58" s="21">
        <v>1.0</v>
      </c>
      <c r="G58" s="11">
        <f t="shared" si="1"/>
        <v>2</v>
      </c>
      <c r="H58" s="85">
        <f t="shared" si="2"/>
        <v>0.5</v>
      </c>
      <c r="I58" s="86">
        <f t="shared" si="3"/>
        <v>1.5</v>
      </c>
      <c r="J58" s="94"/>
      <c r="K58" s="11">
        <f t="shared" si="4"/>
        <v>3</v>
      </c>
    </row>
    <row r="59" ht="14.25" customHeight="1">
      <c r="A59" s="21" t="s">
        <v>500</v>
      </c>
      <c r="B59" s="21">
        <v>2.0</v>
      </c>
      <c r="D59" s="21">
        <v>1.0</v>
      </c>
      <c r="E59" s="21">
        <v>0.0</v>
      </c>
      <c r="F59" s="21">
        <v>0.0</v>
      </c>
      <c r="G59" s="11">
        <f t="shared" si="1"/>
        <v>1</v>
      </c>
      <c r="H59" s="85">
        <f t="shared" si="2"/>
        <v>1</v>
      </c>
      <c r="I59" s="86">
        <f t="shared" si="3"/>
        <v>2</v>
      </c>
      <c r="K59" s="11">
        <f t="shared" si="4"/>
        <v>3</v>
      </c>
    </row>
    <row r="60" ht="14.25" customHeight="1">
      <c r="A60" s="21" t="s">
        <v>806</v>
      </c>
      <c r="B60" s="21">
        <v>1.0</v>
      </c>
      <c r="D60" s="21">
        <v>1.0</v>
      </c>
      <c r="E60" s="21">
        <v>0.0</v>
      </c>
      <c r="F60" s="21">
        <v>0.0</v>
      </c>
      <c r="G60" s="11">
        <f t="shared" si="1"/>
        <v>1</v>
      </c>
      <c r="H60" s="85">
        <f t="shared" si="2"/>
        <v>1</v>
      </c>
      <c r="I60" s="86">
        <f t="shared" si="3"/>
        <v>1</v>
      </c>
      <c r="K60" s="11">
        <f t="shared" si="4"/>
        <v>3</v>
      </c>
    </row>
    <row r="61" ht="14.25" customHeight="1">
      <c r="A61" s="21" t="s">
        <v>17</v>
      </c>
      <c r="B61" s="21">
        <v>1.0</v>
      </c>
      <c r="D61" s="21">
        <v>1.0</v>
      </c>
      <c r="E61" s="21">
        <v>0.0</v>
      </c>
      <c r="F61" s="21">
        <v>0.0</v>
      </c>
      <c r="G61" s="11">
        <f t="shared" si="1"/>
        <v>1</v>
      </c>
      <c r="H61" s="85">
        <f t="shared" si="2"/>
        <v>1</v>
      </c>
      <c r="I61" s="86">
        <f t="shared" si="3"/>
        <v>1</v>
      </c>
      <c r="K61" s="11">
        <f t="shared" si="4"/>
        <v>3</v>
      </c>
    </row>
    <row r="62" ht="14.25" customHeight="1">
      <c r="A62" s="21" t="s">
        <v>341</v>
      </c>
      <c r="B62" s="16">
        <v>0.0</v>
      </c>
      <c r="D62" s="21">
        <v>1.0</v>
      </c>
      <c r="E62" s="21">
        <v>0.0</v>
      </c>
      <c r="F62" s="21">
        <v>0.0</v>
      </c>
      <c r="G62" s="11">
        <f t="shared" si="1"/>
        <v>1</v>
      </c>
      <c r="H62" s="85">
        <f t="shared" si="2"/>
        <v>1</v>
      </c>
      <c r="I62" s="86">
        <f t="shared" si="3"/>
        <v>0</v>
      </c>
      <c r="K62" s="11">
        <f t="shared" si="4"/>
        <v>3</v>
      </c>
      <c r="N62" s="78"/>
    </row>
    <row r="63" ht="14.25" customHeight="1">
      <c r="A63" s="21" t="s">
        <v>644</v>
      </c>
      <c r="B63" s="21">
        <v>0.0</v>
      </c>
      <c r="D63" s="21">
        <v>1.0</v>
      </c>
      <c r="E63" s="21">
        <v>0.0</v>
      </c>
      <c r="F63" s="21">
        <v>0.0</v>
      </c>
      <c r="G63" s="11">
        <f t="shared" si="1"/>
        <v>1</v>
      </c>
      <c r="H63" s="85">
        <f t="shared" si="2"/>
        <v>1</v>
      </c>
      <c r="I63" s="86">
        <f t="shared" si="3"/>
        <v>0</v>
      </c>
      <c r="J63" s="94"/>
      <c r="K63" s="11">
        <f t="shared" si="4"/>
        <v>3</v>
      </c>
    </row>
    <row r="64" ht="14.25" customHeight="1">
      <c r="A64" s="47" t="s">
        <v>718</v>
      </c>
      <c r="B64" s="21">
        <v>0.0</v>
      </c>
      <c r="D64" s="21">
        <v>1.0</v>
      </c>
      <c r="E64" s="21">
        <v>0.0</v>
      </c>
      <c r="F64" s="21">
        <v>0.0</v>
      </c>
      <c r="G64" s="11">
        <f t="shared" si="1"/>
        <v>1</v>
      </c>
      <c r="H64" s="85">
        <f t="shared" si="2"/>
        <v>1</v>
      </c>
      <c r="I64" s="86">
        <f t="shared" si="3"/>
        <v>0</v>
      </c>
      <c r="J64" s="94"/>
      <c r="K64" s="11">
        <f t="shared" si="4"/>
        <v>3</v>
      </c>
    </row>
    <row r="65" ht="14.25" customHeight="1">
      <c r="A65" s="21" t="s">
        <v>807</v>
      </c>
      <c r="B65" s="21">
        <v>1.0</v>
      </c>
      <c r="D65" s="21">
        <v>0.0</v>
      </c>
      <c r="E65" s="21">
        <v>1.0</v>
      </c>
      <c r="F65" s="21">
        <v>0.0</v>
      </c>
      <c r="G65" s="11">
        <f t="shared" si="1"/>
        <v>1</v>
      </c>
      <c r="H65" s="85">
        <f t="shared" si="2"/>
        <v>0.3333333333</v>
      </c>
      <c r="I65" s="86">
        <f t="shared" si="3"/>
        <v>1</v>
      </c>
      <c r="J65" s="94"/>
      <c r="K65" s="11">
        <f t="shared" si="4"/>
        <v>1</v>
      </c>
    </row>
    <row r="66" ht="14.25" customHeight="1">
      <c r="A66" s="21" t="s">
        <v>562</v>
      </c>
      <c r="B66" s="16">
        <v>0.0</v>
      </c>
      <c r="D66" s="21">
        <v>0.0</v>
      </c>
      <c r="E66" s="21">
        <v>1.0</v>
      </c>
      <c r="F66" s="21">
        <v>2.0</v>
      </c>
      <c r="G66" s="11">
        <f t="shared" si="1"/>
        <v>3</v>
      </c>
      <c r="H66" s="85">
        <f t="shared" si="2"/>
        <v>0.1111111111</v>
      </c>
      <c r="I66" s="86">
        <f t="shared" si="3"/>
        <v>0</v>
      </c>
      <c r="K66" s="11">
        <f t="shared" si="4"/>
        <v>1</v>
      </c>
    </row>
    <row r="67" ht="14.25" customHeight="1">
      <c r="A67" s="21" t="s">
        <v>808</v>
      </c>
      <c r="B67" s="21">
        <v>0.0</v>
      </c>
      <c r="D67" s="21">
        <v>0.0</v>
      </c>
      <c r="E67" s="21">
        <v>1.0</v>
      </c>
      <c r="F67" s="21">
        <v>0.0</v>
      </c>
      <c r="G67" s="11">
        <f t="shared" si="1"/>
        <v>1</v>
      </c>
      <c r="H67" s="85">
        <f t="shared" si="2"/>
        <v>0.3333333333</v>
      </c>
      <c r="I67" s="86">
        <f t="shared" si="3"/>
        <v>0</v>
      </c>
      <c r="J67" s="94"/>
      <c r="K67" s="11">
        <f t="shared" si="4"/>
        <v>1</v>
      </c>
    </row>
    <row r="68" ht="14.25" customHeight="1">
      <c r="A68" s="21" t="s">
        <v>431</v>
      </c>
      <c r="B68" s="21">
        <v>2.0</v>
      </c>
      <c r="D68" s="21">
        <v>0.0</v>
      </c>
      <c r="E68" s="21">
        <v>0.0</v>
      </c>
      <c r="F68" s="21">
        <v>2.0</v>
      </c>
      <c r="G68" s="11">
        <f t="shared" si="1"/>
        <v>2</v>
      </c>
      <c r="H68" s="85">
        <f t="shared" si="2"/>
        <v>0</v>
      </c>
      <c r="I68" s="86">
        <f t="shared" si="3"/>
        <v>1</v>
      </c>
      <c r="K68" s="11">
        <f t="shared" si="4"/>
        <v>0</v>
      </c>
    </row>
    <row r="69" ht="14.25" customHeight="1">
      <c r="A69" s="21" t="s">
        <v>287</v>
      </c>
      <c r="B69" s="16">
        <v>1.0</v>
      </c>
      <c r="D69" s="21">
        <v>0.0</v>
      </c>
      <c r="E69" s="21">
        <v>0.0</v>
      </c>
      <c r="F69" s="21">
        <v>1.0</v>
      </c>
      <c r="G69" s="11">
        <f t="shared" si="1"/>
        <v>1</v>
      </c>
      <c r="H69" s="85">
        <f t="shared" si="2"/>
        <v>0</v>
      </c>
      <c r="I69" s="86">
        <f t="shared" si="3"/>
        <v>1</v>
      </c>
      <c r="K69" s="11">
        <f t="shared" si="4"/>
        <v>0</v>
      </c>
    </row>
    <row r="70" ht="14.25" customHeight="1">
      <c r="A70" s="21" t="s">
        <v>620</v>
      </c>
      <c r="B70" s="21">
        <v>1.0</v>
      </c>
      <c r="D70" s="21">
        <v>0.0</v>
      </c>
      <c r="E70" s="21">
        <v>0.0</v>
      </c>
      <c r="F70" s="21">
        <v>1.0</v>
      </c>
      <c r="G70" s="11">
        <f t="shared" si="1"/>
        <v>1</v>
      </c>
      <c r="H70" s="85">
        <f t="shared" si="2"/>
        <v>0</v>
      </c>
      <c r="I70" s="86">
        <f t="shared" si="3"/>
        <v>1</v>
      </c>
      <c r="K70" s="11">
        <f t="shared" si="4"/>
        <v>0</v>
      </c>
    </row>
    <row r="71" ht="14.25" customHeight="1">
      <c r="A71" s="21" t="s">
        <v>680</v>
      </c>
      <c r="B71" s="21">
        <v>1.0</v>
      </c>
      <c r="D71" s="21">
        <v>0.0</v>
      </c>
      <c r="E71" s="21">
        <v>0.0</v>
      </c>
      <c r="F71" s="21">
        <v>1.0</v>
      </c>
      <c r="G71" s="11">
        <f t="shared" si="1"/>
        <v>1</v>
      </c>
      <c r="H71" s="85">
        <f t="shared" si="2"/>
        <v>0</v>
      </c>
      <c r="I71" s="86">
        <f t="shared" si="3"/>
        <v>1</v>
      </c>
      <c r="J71" s="94"/>
      <c r="K71" s="11">
        <f t="shared" si="4"/>
        <v>0</v>
      </c>
    </row>
    <row r="72" ht="14.25" customHeight="1">
      <c r="A72" s="21" t="s">
        <v>664</v>
      </c>
      <c r="B72" s="21">
        <v>1.0</v>
      </c>
      <c r="D72" s="21">
        <v>0.0</v>
      </c>
      <c r="E72" s="21">
        <v>0.0</v>
      </c>
      <c r="F72" s="21">
        <v>3.0</v>
      </c>
      <c r="G72" s="11">
        <f t="shared" si="1"/>
        <v>3</v>
      </c>
      <c r="H72" s="85">
        <f t="shared" si="2"/>
        <v>0</v>
      </c>
      <c r="I72" s="86">
        <f t="shared" si="3"/>
        <v>0.3333333333</v>
      </c>
      <c r="J72" s="94"/>
      <c r="K72" s="11">
        <f t="shared" si="4"/>
        <v>0</v>
      </c>
    </row>
    <row r="73" ht="14.25" customHeight="1">
      <c r="A73" s="21" t="s">
        <v>209</v>
      </c>
      <c r="B73" s="21">
        <v>0.0</v>
      </c>
      <c r="D73" s="21">
        <v>0.0</v>
      </c>
      <c r="E73" s="21">
        <v>0.0</v>
      </c>
      <c r="F73" s="21">
        <v>1.0</v>
      </c>
      <c r="G73" s="11">
        <f t="shared" si="1"/>
        <v>1</v>
      </c>
      <c r="H73" s="85">
        <f t="shared" si="2"/>
        <v>0</v>
      </c>
      <c r="I73" s="86">
        <f t="shared" si="3"/>
        <v>0</v>
      </c>
      <c r="J73" s="94"/>
      <c r="K73" s="11">
        <f t="shared" si="4"/>
        <v>0</v>
      </c>
    </row>
    <row r="74" ht="14.25" customHeight="1">
      <c r="A74" s="47" t="s">
        <v>657</v>
      </c>
      <c r="B74" s="47">
        <v>0.0</v>
      </c>
      <c r="D74" s="47">
        <v>0.0</v>
      </c>
      <c r="E74" s="47">
        <v>0.0</v>
      </c>
      <c r="F74" s="47">
        <v>1.0</v>
      </c>
      <c r="G74" s="94">
        <f t="shared" si="1"/>
        <v>1</v>
      </c>
      <c r="H74" s="78">
        <f t="shared" si="2"/>
        <v>0</v>
      </c>
      <c r="I74" s="108">
        <f t="shared" si="3"/>
        <v>0</v>
      </c>
      <c r="J74" s="94"/>
      <c r="K74" s="94">
        <f t="shared" si="4"/>
        <v>0</v>
      </c>
    </row>
    <row r="75" ht="14.25" customHeight="1">
      <c r="A75" s="47" t="s">
        <v>673</v>
      </c>
      <c r="B75" s="47">
        <v>0.0</v>
      </c>
      <c r="D75" s="47">
        <v>0.0</v>
      </c>
      <c r="E75" s="47">
        <v>0.0</v>
      </c>
      <c r="F75" s="47">
        <v>1.0</v>
      </c>
      <c r="G75" s="94">
        <f t="shared" si="1"/>
        <v>1</v>
      </c>
      <c r="H75" s="78">
        <f t="shared" si="2"/>
        <v>0</v>
      </c>
      <c r="I75" s="108">
        <f t="shared" si="3"/>
        <v>0</v>
      </c>
      <c r="J75" s="94"/>
      <c r="K75" s="94">
        <f t="shared" si="4"/>
        <v>0</v>
      </c>
    </row>
    <row r="76" ht="14.25" customHeight="1">
      <c r="H76" s="78"/>
    </row>
    <row r="77" ht="14.25" customHeight="1">
      <c r="H77" s="78"/>
    </row>
    <row r="78" ht="14.25" customHeight="1">
      <c r="H78" s="78"/>
    </row>
    <row r="79" ht="14.25" customHeight="1">
      <c r="H79" s="78"/>
    </row>
    <row r="80" ht="14.25" customHeight="1">
      <c r="H80" s="78"/>
    </row>
    <row r="81" ht="14.25" customHeight="1">
      <c r="H81" s="78"/>
    </row>
    <row r="82" ht="14.25" customHeight="1">
      <c r="H82" s="78"/>
    </row>
    <row r="83" ht="14.25" customHeight="1">
      <c r="H83" s="78"/>
    </row>
    <row r="84" ht="14.25" customHeight="1">
      <c r="H84" s="78"/>
    </row>
    <row r="85" ht="14.25" customHeight="1">
      <c r="H85" s="78"/>
    </row>
    <row r="86" ht="14.25" customHeight="1">
      <c r="H86" s="78"/>
    </row>
    <row r="87" ht="14.25" customHeight="1">
      <c r="H87" s="78"/>
    </row>
    <row r="88" ht="14.25" customHeight="1">
      <c r="H88" s="78"/>
    </row>
    <row r="89" ht="14.25" customHeight="1">
      <c r="H89" s="78"/>
    </row>
    <row r="90" ht="14.25" customHeight="1">
      <c r="H90" s="78"/>
    </row>
    <row r="91" ht="14.25" customHeight="1">
      <c r="H91" s="78"/>
    </row>
    <row r="92" ht="14.25" customHeight="1">
      <c r="H92" s="78"/>
    </row>
    <row r="93" ht="14.25" customHeight="1">
      <c r="H93" s="78"/>
    </row>
    <row r="94" ht="14.25" customHeight="1">
      <c r="H94" s="78"/>
    </row>
    <row r="95" ht="14.25" customHeight="1">
      <c r="H95" s="78"/>
    </row>
    <row r="96" ht="14.25" customHeight="1">
      <c r="H96" s="78"/>
    </row>
    <row r="97" ht="14.25" customHeight="1">
      <c r="H97" s="78"/>
    </row>
    <row r="98" ht="14.25" customHeight="1">
      <c r="H98" s="78"/>
    </row>
    <row r="99" ht="14.25" customHeight="1">
      <c r="H99" s="78"/>
    </row>
    <row r="100" ht="14.25" customHeight="1">
      <c r="H100" s="78"/>
    </row>
    <row r="101" ht="14.25" customHeight="1">
      <c r="H101" s="78"/>
    </row>
    <row r="102" ht="14.25" customHeight="1">
      <c r="H102" s="78"/>
    </row>
    <row r="103" ht="14.25" customHeight="1">
      <c r="H103" s="78"/>
    </row>
    <row r="104" ht="14.25" customHeight="1">
      <c r="H104" s="78"/>
    </row>
    <row r="105" ht="14.25" customHeight="1">
      <c r="H105" s="78"/>
    </row>
    <row r="106" ht="14.25" customHeight="1">
      <c r="H106" s="78"/>
    </row>
    <row r="107" ht="14.25" customHeight="1">
      <c r="H107" s="78"/>
    </row>
    <row r="108" ht="14.25" customHeight="1">
      <c r="H108" s="78"/>
    </row>
    <row r="109" ht="14.25" customHeight="1">
      <c r="H109" s="78"/>
    </row>
    <row r="110" ht="14.25" customHeight="1">
      <c r="H110" s="78"/>
    </row>
    <row r="111" ht="14.25" customHeight="1">
      <c r="H111" s="78"/>
    </row>
    <row r="112" ht="14.25" customHeight="1">
      <c r="H112" s="78"/>
    </row>
    <row r="113" ht="14.25" customHeight="1">
      <c r="H113" s="78"/>
    </row>
    <row r="114" ht="14.25" customHeight="1">
      <c r="H114" s="78"/>
    </row>
    <row r="115" ht="14.25" customHeight="1">
      <c r="H115" s="78"/>
    </row>
    <row r="116" ht="14.25" customHeight="1">
      <c r="C116" s="67"/>
      <c r="H116" s="78"/>
      <c r="J116" s="67"/>
    </row>
    <row r="117" ht="14.25" customHeight="1">
      <c r="C117" s="67"/>
      <c r="H117" s="78"/>
      <c r="J117" s="67"/>
    </row>
    <row r="118" ht="14.25" customHeight="1">
      <c r="C118" s="67"/>
      <c r="H118" s="78"/>
      <c r="J118" s="67"/>
    </row>
    <row r="119" ht="14.25" customHeight="1">
      <c r="C119" s="67"/>
      <c r="H119" s="78"/>
      <c r="J119" s="67"/>
    </row>
    <row r="120" ht="14.25" customHeight="1">
      <c r="C120" s="67"/>
      <c r="H120" s="78"/>
      <c r="J120" s="67"/>
    </row>
    <row r="121" ht="14.25" customHeight="1">
      <c r="C121" s="67"/>
      <c r="H121" s="78"/>
      <c r="J121" s="67"/>
    </row>
    <row r="122" ht="14.25" customHeight="1">
      <c r="C122" s="67"/>
      <c r="H122" s="78"/>
      <c r="J122" s="67"/>
    </row>
    <row r="123" ht="14.25" customHeight="1">
      <c r="C123" s="67"/>
      <c r="H123" s="78"/>
      <c r="J123" s="67"/>
    </row>
    <row r="124" ht="14.25" customHeight="1">
      <c r="C124" s="67"/>
      <c r="H124" s="78"/>
      <c r="J124" s="67"/>
    </row>
    <row r="125" ht="14.25" customHeight="1">
      <c r="C125" s="67"/>
      <c r="H125" s="78"/>
      <c r="J125" s="67"/>
    </row>
    <row r="126" ht="14.25" customHeight="1">
      <c r="C126" s="67"/>
      <c r="H126" s="78"/>
      <c r="J126" s="67"/>
    </row>
    <row r="127" ht="14.25" customHeight="1">
      <c r="C127" s="67"/>
      <c r="H127" s="78"/>
      <c r="J127" s="67"/>
    </row>
    <row r="128" ht="14.25" customHeight="1">
      <c r="C128" s="67"/>
      <c r="H128" s="78"/>
      <c r="J128" s="67"/>
    </row>
    <row r="129" ht="14.25" customHeight="1">
      <c r="C129" s="67"/>
      <c r="H129" s="78"/>
      <c r="J129" s="67"/>
    </row>
    <row r="130" ht="14.25" customHeight="1">
      <c r="C130" s="67"/>
      <c r="H130" s="78"/>
      <c r="J130" s="67"/>
    </row>
    <row r="131" ht="14.25" customHeight="1">
      <c r="C131" s="67"/>
      <c r="H131" s="78"/>
      <c r="J131" s="67"/>
    </row>
    <row r="132" ht="14.25" customHeight="1">
      <c r="C132" s="67"/>
      <c r="H132" s="78"/>
      <c r="J132" s="67"/>
    </row>
    <row r="133" ht="14.25" customHeight="1">
      <c r="C133" s="67"/>
      <c r="H133" s="78"/>
      <c r="J133" s="67"/>
    </row>
    <row r="134" ht="14.25" customHeight="1">
      <c r="C134" s="67"/>
      <c r="H134" s="78"/>
      <c r="J134" s="67"/>
    </row>
    <row r="135" ht="14.25" customHeight="1">
      <c r="C135" s="67"/>
      <c r="H135" s="78"/>
      <c r="J135" s="67"/>
    </row>
    <row r="136" ht="14.25" customHeight="1">
      <c r="C136" s="67"/>
      <c r="H136" s="78"/>
      <c r="J136" s="67"/>
    </row>
    <row r="137" ht="14.25" customHeight="1">
      <c r="C137" s="67"/>
      <c r="H137" s="78"/>
      <c r="J137" s="67"/>
    </row>
    <row r="138" ht="14.25" customHeight="1">
      <c r="C138" s="67"/>
      <c r="H138" s="78"/>
      <c r="J138" s="67"/>
    </row>
    <row r="139" ht="14.25" customHeight="1">
      <c r="C139" s="67"/>
      <c r="H139" s="78"/>
      <c r="J139" s="67"/>
    </row>
    <row r="140" ht="14.25" customHeight="1">
      <c r="C140" s="67"/>
      <c r="H140" s="78"/>
      <c r="J140" s="67"/>
    </row>
    <row r="141" ht="14.25" customHeight="1">
      <c r="C141" s="67"/>
      <c r="H141" s="78"/>
      <c r="J141" s="67"/>
    </row>
    <row r="142" ht="14.25" customHeight="1">
      <c r="C142" s="67"/>
      <c r="H142" s="78"/>
      <c r="J142" s="67"/>
    </row>
    <row r="143" ht="14.25" customHeight="1">
      <c r="C143" s="67"/>
      <c r="H143" s="78"/>
      <c r="J143" s="67"/>
    </row>
    <row r="144" ht="14.25" customHeight="1">
      <c r="C144" s="67"/>
      <c r="H144" s="78"/>
      <c r="J144" s="67"/>
    </row>
    <row r="145" ht="14.25" customHeight="1">
      <c r="C145" s="67"/>
      <c r="H145" s="78"/>
      <c r="J145" s="67"/>
    </row>
    <row r="146" ht="14.25" customHeight="1">
      <c r="C146" s="67"/>
      <c r="H146" s="78"/>
      <c r="J146" s="67"/>
    </row>
    <row r="147" ht="14.25" customHeight="1">
      <c r="C147" s="67"/>
      <c r="H147" s="78"/>
      <c r="J147" s="67"/>
    </row>
    <row r="148" ht="14.25" customHeight="1">
      <c r="C148" s="67"/>
      <c r="H148" s="78"/>
      <c r="J148" s="67"/>
    </row>
    <row r="149" ht="14.25" customHeight="1">
      <c r="C149" s="67"/>
      <c r="H149" s="78"/>
      <c r="J149" s="67"/>
    </row>
    <row r="150" ht="14.25" customHeight="1">
      <c r="C150" s="67"/>
      <c r="H150" s="78"/>
      <c r="J150" s="67"/>
    </row>
    <row r="151" ht="14.25" customHeight="1">
      <c r="C151" s="67"/>
      <c r="H151" s="78"/>
      <c r="J151" s="67"/>
    </row>
    <row r="152" ht="14.25" customHeight="1">
      <c r="C152" s="67"/>
      <c r="H152" s="78"/>
      <c r="J152" s="67"/>
    </row>
    <row r="153" ht="14.25" customHeight="1">
      <c r="C153" s="67"/>
      <c r="H153" s="78"/>
      <c r="J153" s="67"/>
    </row>
    <row r="154" ht="14.25" customHeight="1">
      <c r="C154" s="67"/>
      <c r="H154" s="78"/>
      <c r="J154" s="67"/>
    </row>
    <row r="155" ht="14.25" customHeight="1">
      <c r="C155" s="67"/>
      <c r="H155" s="78"/>
      <c r="J155" s="67"/>
    </row>
    <row r="156" ht="14.25" customHeight="1">
      <c r="C156" s="67"/>
      <c r="H156" s="78"/>
      <c r="J156" s="67"/>
    </row>
    <row r="157" ht="14.25" customHeight="1">
      <c r="C157" s="67"/>
      <c r="H157" s="78"/>
      <c r="J157" s="67"/>
    </row>
    <row r="158" ht="14.25" customHeight="1">
      <c r="C158" s="67"/>
      <c r="H158" s="78"/>
      <c r="J158" s="67"/>
    </row>
    <row r="159" ht="14.25" customHeight="1">
      <c r="C159" s="67"/>
      <c r="H159" s="78"/>
      <c r="J159" s="67"/>
    </row>
    <row r="160" ht="14.25" customHeight="1">
      <c r="C160" s="67"/>
      <c r="H160" s="78"/>
      <c r="J160" s="67"/>
    </row>
    <row r="161" ht="14.25" customHeight="1">
      <c r="C161" s="67"/>
      <c r="H161" s="78"/>
      <c r="J161" s="67"/>
    </row>
    <row r="162" ht="14.25" customHeight="1">
      <c r="C162" s="67"/>
      <c r="H162" s="78"/>
      <c r="J162" s="67"/>
    </row>
    <row r="163" ht="14.25" customHeight="1">
      <c r="C163" s="67"/>
      <c r="H163" s="78"/>
      <c r="J163" s="67"/>
    </row>
    <row r="164" ht="14.25" customHeight="1">
      <c r="C164" s="67"/>
      <c r="H164" s="78"/>
      <c r="J164" s="67"/>
    </row>
    <row r="165" ht="14.25" customHeight="1">
      <c r="C165" s="67"/>
      <c r="H165" s="78"/>
      <c r="J165" s="67"/>
    </row>
    <row r="166" ht="14.25" customHeight="1">
      <c r="C166" s="67"/>
      <c r="H166" s="78"/>
      <c r="J166" s="67"/>
    </row>
    <row r="167" ht="14.25" customHeight="1">
      <c r="C167" s="67"/>
      <c r="H167" s="78"/>
      <c r="J167" s="67"/>
    </row>
    <row r="168" ht="14.25" customHeight="1">
      <c r="C168" s="67"/>
      <c r="H168" s="78"/>
      <c r="J168" s="67"/>
    </row>
    <row r="169" ht="14.25" customHeight="1">
      <c r="C169" s="67"/>
      <c r="H169" s="78"/>
      <c r="J169" s="67"/>
    </row>
    <row r="170" ht="14.25" customHeight="1">
      <c r="C170" s="67"/>
      <c r="H170" s="78"/>
      <c r="J170" s="67"/>
    </row>
    <row r="171" ht="14.25" customHeight="1">
      <c r="C171" s="67"/>
      <c r="H171" s="78"/>
      <c r="J171" s="67"/>
    </row>
    <row r="172" ht="14.25" customHeight="1">
      <c r="C172" s="67"/>
      <c r="H172" s="78"/>
      <c r="J172" s="67"/>
    </row>
    <row r="173" ht="14.25" customHeight="1">
      <c r="C173" s="67"/>
      <c r="H173" s="78"/>
      <c r="J173" s="67"/>
    </row>
    <row r="174" ht="14.25" customHeight="1">
      <c r="C174" s="67"/>
      <c r="H174" s="78"/>
      <c r="J174" s="67"/>
    </row>
    <row r="175" ht="14.25" customHeight="1">
      <c r="C175" s="67"/>
      <c r="H175" s="78"/>
      <c r="J175" s="67"/>
    </row>
    <row r="176" ht="14.25" customHeight="1">
      <c r="C176" s="67"/>
      <c r="H176" s="78"/>
      <c r="J176" s="67"/>
    </row>
    <row r="177" ht="14.25" customHeight="1">
      <c r="C177" s="67"/>
      <c r="H177" s="78"/>
      <c r="J177" s="67"/>
    </row>
    <row r="178" ht="14.25" customHeight="1">
      <c r="C178" s="67"/>
      <c r="H178" s="78"/>
      <c r="J178" s="67"/>
    </row>
    <row r="179" ht="14.25" customHeight="1">
      <c r="C179" s="67"/>
      <c r="H179" s="78"/>
      <c r="J179" s="67"/>
    </row>
    <row r="180" ht="14.25" customHeight="1">
      <c r="C180" s="67"/>
      <c r="H180" s="78"/>
      <c r="J180" s="67"/>
    </row>
    <row r="181" ht="14.25" customHeight="1">
      <c r="C181" s="67"/>
      <c r="H181" s="78"/>
      <c r="J181" s="67"/>
    </row>
    <row r="182" ht="14.25" customHeight="1">
      <c r="C182" s="67"/>
      <c r="H182" s="78"/>
      <c r="J182" s="67"/>
    </row>
    <row r="183" ht="14.25" customHeight="1">
      <c r="C183" s="67"/>
      <c r="H183" s="78"/>
      <c r="J183" s="67"/>
    </row>
    <row r="184" ht="14.25" customHeight="1">
      <c r="C184" s="67"/>
      <c r="H184" s="78"/>
      <c r="J184" s="67"/>
    </row>
    <row r="185" ht="14.25" customHeight="1">
      <c r="C185" s="67"/>
      <c r="H185" s="78"/>
      <c r="J185" s="67"/>
    </row>
    <row r="186" ht="14.25" customHeight="1">
      <c r="C186" s="67"/>
      <c r="H186" s="78"/>
      <c r="J186" s="67"/>
    </row>
    <row r="187" ht="14.25" customHeight="1">
      <c r="C187" s="67"/>
      <c r="H187" s="78"/>
      <c r="J187" s="67"/>
    </row>
    <row r="188" ht="14.25" customHeight="1">
      <c r="C188" s="67"/>
      <c r="H188" s="78"/>
      <c r="J188" s="67"/>
    </row>
    <row r="189" ht="14.25" customHeight="1">
      <c r="C189" s="67"/>
      <c r="H189" s="78"/>
      <c r="J189" s="67"/>
    </row>
    <row r="190" ht="14.25" customHeight="1">
      <c r="C190" s="67"/>
      <c r="H190" s="78"/>
      <c r="J190" s="67"/>
    </row>
    <row r="191" ht="14.25" customHeight="1">
      <c r="C191" s="67"/>
      <c r="H191" s="78"/>
      <c r="J191" s="67"/>
    </row>
    <row r="192" ht="14.25" customHeight="1">
      <c r="C192" s="67"/>
      <c r="H192" s="78"/>
      <c r="J192" s="67"/>
    </row>
    <row r="193" ht="14.25" customHeight="1">
      <c r="C193" s="67"/>
      <c r="H193" s="78"/>
      <c r="J193" s="67"/>
    </row>
    <row r="194" ht="14.25" customHeight="1">
      <c r="C194" s="67"/>
      <c r="H194" s="78"/>
      <c r="J194" s="67"/>
    </row>
    <row r="195" ht="14.25" customHeight="1">
      <c r="C195" s="67"/>
      <c r="H195" s="78"/>
      <c r="J195" s="67"/>
    </row>
    <row r="196" ht="14.25" customHeight="1">
      <c r="C196" s="67"/>
      <c r="H196" s="78"/>
      <c r="J196" s="67"/>
    </row>
    <row r="197" ht="14.25" customHeight="1">
      <c r="C197" s="67"/>
      <c r="H197" s="78"/>
      <c r="J197" s="67"/>
    </row>
    <row r="198" ht="14.25" customHeight="1">
      <c r="C198" s="67"/>
      <c r="H198" s="78"/>
      <c r="J198" s="67"/>
    </row>
    <row r="199" ht="14.25" customHeight="1">
      <c r="C199" s="67"/>
      <c r="H199" s="78"/>
      <c r="J199" s="67"/>
    </row>
    <row r="200" ht="14.25" customHeight="1">
      <c r="C200" s="67"/>
      <c r="H200" s="78"/>
      <c r="J200" s="67"/>
    </row>
    <row r="201" ht="14.25" customHeight="1">
      <c r="C201" s="67"/>
      <c r="H201" s="78"/>
      <c r="J201" s="67"/>
    </row>
    <row r="202" ht="14.25" customHeight="1">
      <c r="C202" s="67"/>
      <c r="H202" s="78"/>
      <c r="J202" s="67"/>
    </row>
    <row r="203" ht="14.25" customHeight="1">
      <c r="C203" s="67"/>
      <c r="H203" s="78"/>
      <c r="J203" s="67"/>
    </row>
    <row r="204" ht="14.25" customHeight="1">
      <c r="C204" s="67"/>
      <c r="H204" s="78"/>
      <c r="J204" s="67"/>
    </row>
    <row r="205" ht="14.25" customHeight="1">
      <c r="C205" s="67"/>
      <c r="H205" s="78"/>
      <c r="J205" s="67"/>
    </row>
    <row r="206" ht="14.25" customHeight="1">
      <c r="C206" s="67"/>
      <c r="H206" s="78"/>
      <c r="J206" s="67"/>
    </row>
    <row r="207" ht="14.25" customHeight="1">
      <c r="C207" s="67"/>
      <c r="H207" s="78"/>
      <c r="J207" s="67"/>
    </row>
    <row r="208" ht="14.25" customHeight="1">
      <c r="C208" s="67"/>
      <c r="H208" s="78"/>
      <c r="J208" s="67"/>
    </row>
    <row r="209" ht="14.25" customHeight="1">
      <c r="C209" s="67"/>
      <c r="H209" s="78"/>
      <c r="J209" s="67"/>
    </row>
    <row r="210" ht="14.25" customHeight="1">
      <c r="C210" s="67"/>
      <c r="H210" s="78"/>
      <c r="J210" s="67"/>
    </row>
    <row r="211" ht="14.25" customHeight="1">
      <c r="C211" s="67"/>
      <c r="H211" s="78"/>
      <c r="J211" s="67"/>
    </row>
    <row r="212" ht="14.25" customHeight="1">
      <c r="C212" s="67"/>
      <c r="H212" s="78"/>
      <c r="J212" s="67"/>
    </row>
    <row r="213" ht="14.25" customHeight="1">
      <c r="C213" s="67"/>
      <c r="H213" s="78"/>
      <c r="J213" s="67"/>
    </row>
    <row r="214" ht="14.25" customHeight="1">
      <c r="C214" s="67"/>
      <c r="H214" s="78"/>
      <c r="J214" s="67"/>
    </row>
    <row r="215" ht="14.25" customHeight="1">
      <c r="C215" s="67"/>
      <c r="H215" s="78"/>
      <c r="J215" s="67"/>
    </row>
    <row r="216" ht="14.25" customHeight="1">
      <c r="C216" s="67"/>
      <c r="H216" s="78"/>
      <c r="J216" s="67"/>
    </row>
    <row r="217" ht="14.25" customHeight="1">
      <c r="C217" s="67"/>
      <c r="H217" s="78"/>
      <c r="J217" s="67"/>
    </row>
    <row r="218" ht="14.25" customHeight="1">
      <c r="C218" s="67"/>
      <c r="H218" s="78"/>
      <c r="J218" s="67"/>
    </row>
    <row r="219" ht="14.25" customHeight="1">
      <c r="C219" s="67"/>
      <c r="H219" s="78"/>
      <c r="J219" s="67"/>
    </row>
    <row r="220" ht="14.25" customHeight="1">
      <c r="C220" s="67"/>
      <c r="H220" s="78"/>
      <c r="J220" s="67"/>
    </row>
    <row r="221" ht="14.25" customHeight="1">
      <c r="C221" s="67"/>
      <c r="H221" s="78"/>
      <c r="J221" s="67"/>
    </row>
    <row r="222" ht="14.25" customHeight="1">
      <c r="C222" s="67"/>
      <c r="H222" s="78"/>
      <c r="J222" s="67"/>
    </row>
    <row r="223" ht="14.25" customHeight="1">
      <c r="C223" s="67"/>
      <c r="H223" s="78"/>
      <c r="J223" s="67"/>
    </row>
    <row r="224" ht="14.25" customHeight="1">
      <c r="C224" s="67"/>
      <c r="H224" s="78"/>
      <c r="J224" s="67"/>
    </row>
    <row r="225" ht="14.25" customHeight="1">
      <c r="C225" s="67"/>
      <c r="H225" s="78"/>
      <c r="J225" s="67"/>
    </row>
    <row r="226" ht="14.25" customHeight="1">
      <c r="C226" s="67"/>
      <c r="H226" s="78"/>
      <c r="J226" s="67"/>
    </row>
    <row r="227" ht="14.25" customHeight="1">
      <c r="C227" s="67"/>
      <c r="H227" s="78"/>
      <c r="J227" s="67"/>
    </row>
    <row r="228" ht="14.25" customHeight="1">
      <c r="C228" s="67"/>
      <c r="H228" s="78"/>
      <c r="J228" s="67"/>
    </row>
    <row r="229" ht="14.25" customHeight="1">
      <c r="C229" s="67"/>
      <c r="H229" s="78"/>
      <c r="J229" s="67"/>
    </row>
    <row r="230" ht="14.25" customHeight="1">
      <c r="C230" s="67"/>
      <c r="H230" s="78"/>
      <c r="J230" s="67"/>
    </row>
    <row r="231" ht="14.25" customHeight="1">
      <c r="C231" s="67"/>
      <c r="H231" s="78"/>
      <c r="J231" s="67"/>
    </row>
    <row r="232" ht="14.25" customHeight="1">
      <c r="C232" s="67"/>
      <c r="H232" s="78"/>
      <c r="J232" s="67"/>
    </row>
    <row r="233" ht="14.25" customHeight="1">
      <c r="C233" s="67"/>
      <c r="H233" s="78"/>
      <c r="J233" s="67"/>
    </row>
    <row r="234" ht="14.25" customHeight="1">
      <c r="C234" s="67"/>
      <c r="H234" s="78"/>
      <c r="J234" s="67"/>
    </row>
    <row r="235" ht="14.25" customHeight="1">
      <c r="C235" s="67"/>
      <c r="H235" s="78"/>
      <c r="J235" s="67"/>
    </row>
    <row r="236" ht="14.25" customHeight="1">
      <c r="C236" s="67"/>
      <c r="H236" s="78"/>
      <c r="J236" s="67"/>
    </row>
    <row r="237" ht="14.25" customHeight="1">
      <c r="C237" s="67"/>
      <c r="H237" s="78"/>
      <c r="J237" s="67"/>
    </row>
    <row r="238" ht="14.25" customHeight="1">
      <c r="C238" s="67"/>
      <c r="H238" s="78"/>
      <c r="J238" s="67"/>
    </row>
    <row r="239" ht="14.25" customHeight="1">
      <c r="C239" s="67"/>
      <c r="H239" s="78"/>
      <c r="J239" s="67"/>
    </row>
    <row r="240" ht="14.25" customHeight="1">
      <c r="C240" s="67"/>
      <c r="H240" s="78"/>
      <c r="J240" s="67"/>
    </row>
    <row r="241" ht="14.25" customHeight="1">
      <c r="C241" s="67"/>
      <c r="H241" s="78"/>
      <c r="J241" s="67"/>
    </row>
    <row r="242" ht="14.25" customHeight="1">
      <c r="C242" s="67"/>
      <c r="H242" s="78"/>
      <c r="J242" s="67"/>
    </row>
    <row r="243" ht="14.25" customHeight="1">
      <c r="C243" s="67"/>
      <c r="H243" s="78"/>
      <c r="J243" s="67"/>
    </row>
    <row r="244" ht="14.25" customHeight="1">
      <c r="C244" s="67"/>
      <c r="H244" s="78"/>
      <c r="J244" s="67"/>
    </row>
    <row r="245" ht="14.25" customHeight="1">
      <c r="C245" s="67"/>
      <c r="H245" s="78"/>
      <c r="J245" s="67"/>
    </row>
    <row r="246" ht="14.25" customHeight="1">
      <c r="C246" s="67"/>
      <c r="H246" s="78"/>
      <c r="J246" s="67"/>
    </row>
    <row r="247" ht="14.25" customHeight="1">
      <c r="C247" s="67"/>
      <c r="H247" s="78"/>
      <c r="J247" s="67"/>
    </row>
    <row r="248" ht="14.25" customHeight="1">
      <c r="C248" s="67"/>
      <c r="H248" s="78"/>
      <c r="J248" s="67"/>
    </row>
    <row r="249" ht="14.25" customHeight="1">
      <c r="C249" s="67"/>
      <c r="H249" s="78"/>
      <c r="J249" s="67"/>
    </row>
    <row r="250" ht="14.25" customHeight="1">
      <c r="C250" s="67"/>
      <c r="H250" s="78"/>
      <c r="J250" s="67"/>
    </row>
    <row r="251" ht="14.25" customHeight="1">
      <c r="C251" s="67"/>
      <c r="H251" s="78"/>
      <c r="J251" s="67"/>
    </row>
    <row r="252" ht="14.25" customHeight="1">
      <c r="C252" s="67"/>
      <c r="H252" s="78"/>
      <c r="J252" s="67"/>
    </row>
    <row r="253" ht="14.25" customHeight="1">
      <c r="C253" s="67"/>
      <c r="H253" s="78"/>
      <c r="J253" s="67"/>
    </row>
    <row r="254" ht="14.25" customHeight="1">
      <c r="C254" s="67"/>
      <c r="H254" s="78"/>
      <c r="J254" s="67"/>
    </row>
    <row r="255" ht="14.25" customHeight="1">
      <c r="C255" s="67"/>
      <c r="H255" s="78"/>
      <c r="J255" s="67"/>
    </row>
    <row r="256" ht="14.25" customHeight="1">
      <c r="C256" s="67"/>
      <c r="H256" s="78"/>
      <c r="J256" s="67"/>
    </row>
    <row r="257" ht="14.25" customHeight="1">
      <c r="C257" s="67"/>
      <c r="H257" s="78"/>
      <c r="J257" s="67"/>
    </row>
    <row r="258" ht="14.25" customHeight="1">
      <c r="C258" s="67"/>
      <c r="H258" s="78"/>
      <c r="J258" s="67"/>
    </row>
    <row r="259" ht="14.25" customHeight="1">
      <c r="C259" s="67"/>
      <c r="H259" s="78"/>
      <c r="J259" s="67"/>
    </row>
    <row r="260" ht="14.25" customHeight="1">
      <c r="C260" s="67"/>
      <c r="H260" s="78"/>
      <c r="J260" s="67"/>
    </row>
    <row r="261" ht="14.25" customHeight="1">
      <c r="C261" s="67"/>
      <c r="H261" s="78"/>
      <c r="J261" s="67"/>
    </row>
    <row r="262" ht="14.25" customHeight="1">
      <c r="C262" s="67"/>
      <c r="H262" s="78"/>
      <c r="J262" s="67"/>
    </row>
    <row r="263" ht="14.25" customHeight="1">
      <c r="C263" s="67"/>
      <c r="H263" s="78"/>
      <c r="J263" s="67"/>
    </row>
    <row r="264" ht="14.25" customHeight="1">
      <c r="C264" s="67"/>
      <c r="H264" s="78"/>
      <c r="J264" s="67"/>
    </row>
    <row r="265" ht="14.25" customHeight="1">
      <c r="C265" s="67"/>
      <c r="H265" s="78"/>
      <c r="J265" s="67"/>
    </row>
    <row r="266" ht="14.25" customHeight="1">
      <c r="C266" s="67"/>
      <c r="H266" s="78"/>
      <c r="J266" s="67"/>
    </row>
    <row r="267" ht="14.25" customHeight="1">
      <c r="C267" s="67"/>
      <c r="H267" s="78"/>
      <c r="J267" s="67"/>
    </row>
    <row r="268" ht="14.25" customHeight="1">
      <c r="C268" s="67"/>
      <c r="H268" s="78"/>
      <c r="J268" s="67"/>
    </row>
    <row r="269" ht="14.25" customHeight="1">
      <c r="C269" s="67"/>
      <c r="H269" s="78"/>
      <c r="J269" s="67"/>
    </row>
    <row r="270" ht="14.25" customHeight="1">
      <c r="C270" s="67"/>
      <c r="H270" s="78"/>
      <c r="J270" s="67"/>
    </row>
    <row r="271" ht="14.25" customHeight="1">
      <c r="C271" s="67"/>
      <c r="H271" s="78"/>
      <c r="J271" s="67"/>
    </row>
    <row r="272" ht="14.25" customHeight="1">
      <c r="C272" s="67"/>
      <c r="H272" s="78"/>
      <c r="J272" s="67"/>
    </row>
    <row r="273" ht="14.25" customHeight="1">
      <c r="C273" s="67"/>
      <c r="H273" s="78"/>
      <c r="J273" s="67"/>
    </row>
    <row r="274" ht="14.25" customHeight="1">
      <c r="C274" s="67"/>
      <c r="H274" s="78"/>
      <c r="J274" s="67"/>
    </row>
    <row r="275" ht="14.25" customHeight="1">
      <c r="C275" s="67"/>
      <c r="H275" s="78"/>
      <c r="J275" s="67"/>
    </row>
    <row r="276" ht="14.25" customHeight="1">
      <c r="C276" s="67"/>
      <c r="H276" s="78"/>
      <c r="J276" s="67"/>
    </row>
    <row r="277" ht="14.25" customHeight="1">
      <c r="C277" s="67"/>
      <c r="H277" s="78"/>
      <c r="J277" s="67"/>
    </row>
    <row r="278" ht="14.25" customHeight="1">
      <c r="C278" s="67"/>
      <c r="H278" s="78"/>
      <c r="J278" s="67"/>
    </row>
    <row r="279" ht="14.25" customHeight="1">
      <c r="C279" s="67"/>
      <c r="H279" s="78"/>
      <c r="J279" s="67"/>
    </row>
    <row r="280" ht="14.25" customHeight="1">
      <c r="C280" s="67"/>
      <c r="H280" s="78"/>
      <c r="J280" s="67"/>
    </row>
    <row r="281" ht="14.25" customHeight="1">
      <c r="C281" s="67"/>
      <c r="H281" s="78"/>
      <c r="J281" s="67"/>
    </row>
    <row r="282" ht="14.25" customHeight="1">
      <c r="C282" s="67"/>
      <c r="H282" s="78"/>
      <c r="J282" s="67"/>
    </row>
    <row r="283" ht="14.25" customHeight="1">
      <c r="C283" s="67"/>
      <c r="H283" s="78"/>
      <c r="J283" s="67"/>
    </row>
    <row r="284" ht="14.25" customHeight="1">
      <c r="C284" s="67"/>
      <c r="H284" s="78"/>
      <c r="J284" s="67"/>
    </row>
    <row r="285" ht="14.25" customHeight="1">
      <c r="C285" s="67"/>
      <c r="H285" s="78"/>
      <c r="J285" s="67"/>
    </row>
    <row r="286" ht="14.25" customHeight="1">
      <c r="C286" s="67"/>
      <c r="H286" s="78"/>
      <c r="J286" s="67"/>
    </row>
    <row r="287" ht="14.25" customHeight="1">
      <c r="C287" s="67"/>
      <c r="H287" s="78"/>
      <c r="J287" s="67"/>
    </row>
    <row r="288" ht="14.25" customHeight="1">
      <c r="C288" s="67"/>
      <c r="H288" s="78"/>
      <c r="J288" s="67"/>
    </row>
    <row r="289" ht="14.25" customHeight="1">
      <c r="C289" s="67"/>
      <c r="H289" s="78"/>
      <c r="J289" s="67"/>
    </row>
    <row r="290" ht="14.25" customHeight="1">
      <c r="C290" s="67"/>
      <c r="H290" s="78"/>
      <c r="J290" s="67"/>
    </row>
    <row r="291" ht="14.25" customHeight="1">
      <c r="C291" s="67"/>
      <c r="H291" s="78"/>
      <c r="J291" s="67"/>
    </row>
    <row r="292" ht="14.25" customHeight="1">
      <c r="C292" s="67"/>
      <c r="H292" s="78"/>
      <c r="J292" s="67"/>
    </row>
    <row r="293" ht="14.25" customHeight="1">
      <c r="C293" s="67"/>
      <c r="H293" s="78"/>
      <c r="J293" s="67"/>
    </row>
    <row r="294" ht="14.25" customHeight="1">
      <c r="C294" s="67"/>
      <c r="H294" s="78"/>
      <c r="J294" s="67"/>
    </row>
    <row r="295" ht="14.25" customHeight="1">
      <c r="C295" s="67"/>
      <c r="H295" s="78"/>
      <c r="J295" s="67"/>
    </row>
    <row r="296" ht="14.25" customHeight="1">
      <c r="C296" s="67"/>
      <c r="H296" s="78"/>
      <c r="J296" s="67"/>
    </row>
    <row r="297" ht="14.25" customHeight="1">
      <c r="C297" s="67"/>
      <c r="H297" s="78"/>
      <c r="J297" s="67"/>
    </row>
    <row r="298" ht="14.25" customHeight="1">
      <c r="C298" s="67"/>
      <c r="H298" s="78"/>
      <c r="J298" s="67"/>
    </row>
    <row r="299" ht="14.25" customHeight="1">
      <c r="C299" s="67"/>
      <c r="H299" s="78"/>
      <c r="J299" s="67"/>
    </row>
    <row r="300" ht="14.25" customHeight="1">
      <c r="C300" s="67"/>
      <c r="H300" s="78"/>
      <c r="J300" s="67"/>
    </row>
    <row r="301" ht="14.25" customHeight="1">
      <c r="C301" s="67"/>
      <c r="H301" s="78"/>
      <c r="J301" s="67"/>
    </row>
    <row r="302" ht="14.25" customHeight="1">
      <c r="C302" s="67"/>
      <c r="H302" s="78"/>
      <c r="J302" s="67"/>
    </row>
    <row r="303" ht="14.25" customHeight="1">
      <c r="C303" s="67"/>
      <c r="H303" s="78"/>
      <c r="J303" s="67"/>
    </row>
    <row r="304" ht="14.25" customHeight="1">
      <c r="C304" s="67"/>
      <c r="H304" s="78"/>
      <c r="J304" s="67"/>
    </row>
    <row r="305" ht="14.25" customHeight="1">
      <c r="C305" s="67"/>
      <c r="H305" s="78"/>
      <c r="J305" s="67"/>
    </row>
    <row r="306" ht="14.25" customHeight="1">
      <c r="C306" s="67"/>
      <c r="H306" s="78"/>
      <c r="J306" s="67"/>
    </row>
    <row r="307" ht="14.25" customHeight="1">
      <c r="C307" s="67"/>
      <c r="H307" s="78"/>
      <c r="J307" s="67"/>
    </row>
    <row r="308" ht="14.25" customHeight="1">
      <c r="C308" s="67"/>
      <c r="H308" s="78"/>
      <c r="J308" s="67"/>
    </row>
    <row r="309" ht="14.25" customHeight="1">
      <c r="C309" s="67"/>
      <c r="H309" s="78"/>
      <c r="J309" s="67"/>
    </row>
    <row r="310" ht="14.25" customHeight="1">
      <c r="C310" s="67"/>
      <c r="H310" s="78"/>
      <c r="J310" s="67"/>
    </row>
    <row r="311" ht="14.25" customHeight="1">
      <c r="C311" s="67"/>
      <c r="H311" s="78"/>
      <c r="J311" s="67"/>
    </row>
    <row r="312" ht="14.25" customHeight="1">
      <c r="C312" s="67"/>
      <c r="H312" s="78"/>
      <c r="J312" s="67"/>
    </row>
    <row r="313" ht="14.25" customHeight="1">
      <c r="C313" s="67"/>
      <c r="H313" s="78"/>
      <c r="J313" s="67"/>
    </row>
    <row r="314" ht="14.25" customHeight="1">
      <c r="C314" s="67"/>
      <c r="H314" s="78"/>
      <c r="J314" s="67"/>
    </row>
    <row r="315" ht="14.25" customHeight="1">
      <c r="C315" s="67"/>
      <c r="H315" s="78"/>
      <c r="J315" s="67"/>
    </row>
    <row r="316" ht="14.25" customHeight="1">
      <c r="C316" s="67"/>
      <c r="H316" s="78"/>
      <c r="J316" s="67"/>
    </row>
    <row r="317" ht="14.25" customHeight="1">
      <c r="C317" s="67"/>
      <c r="H317" s="78"/>
      <c r="J317" s="67"/>
    </row>
    <row r="318" ht="14.25" customHeight="1">
      <c r="C318" s="67"/>
      <c r="H318" s="78"/>
      <c r="J318" s="67"/>
    </row>
    <row r="319" ht="14.25" customHeight="1">
      <c r="C319" s="67"/>
      <c r="H319" s="78"/>
      <c r="J319" s="67"/>
    </row>
    <row r="320" ht="14.25" customHeight="1">
      <c r="C320" s="67"/>
      <c r="H320" s="78"/>
      <c r="J320" s="67"/>
    </row>
    <row r="321" ht="14.25" customHeight="1">
      <c r="C321" s="67"/>
      <c r="H321" s="78"/>
      <c r="J321" s="67"/>
    </row>
    <row r="322" ht="14.25" customHeight="1">
      <c r="C322" s="67"/>
      <c r="H322" s="78"/>
      <c r="J322" s="67"/>
    </row>
    <row r="323" ht="14.25" customHeight="1">
      <c r="C323" s="67"/>
      <c r="H323" s="78"/>
      <c r="J323" s="67"/>
    </row>
    <row r="324" ht="14.25" customHeight="1">
      <c r="C324" s="67"/>
      <c r="H324" s="78"/>
      <c r="J324" s="67"/>
    </row>
    <row r="325" ht="14.25" customHeight="1">
      <c r="C325" s="67"/>
      <c r="H325" s="78"/>
      <c r="J325" s="67"/>
    </row>
    <row r="326" ht="14.25" customHeight="1">
      <c r="C326" s="67"/>
      <c r="H326" s="78"/>
      <c r="J326" s="67"/>
    </row>
    <row r="327" ht="14.25" customHeight="1">
      <c r="C327" s="67"/>
      <c r="H327" s="78"/>
      <c r="J327" s="67"/>
    </row>
    <row r="328" ht="14.25" customHeight="1">
      <c r="C328" s="67"/>
      <c r="H328" s="78"/>
      <c r="J328" s="67"/>
    </row>
    <row r="329" ht="14.25" customHeight="1">
      <c r="C329" s="67"/>
      <c r="H329" s="78"/>
      <c r="J329" s="67"/>
    </row>
    <row r="330" ht="14.25" customHeight="1">
      <c r="C330" s="67"/>
      <c r="H330" s="78"/>
      <c r="J330" s="67"/>
    </row>
    <row r="331" ht="14.25" customHeight="1">
      <c r="C331" s="67"/>
      <c r="H331" s="78"/>
      <c r="J331" s="67"/>
    </row>
    <row r="332" ht="14.25" customHeight="1">
      <c r="C332" s="67"/>
      <c r="H332" s="78"/>
      <c r="J332" s="67"/>
    </row>
    <row r="333" ht="14.25" customHeight="1">
      <c r="C333" s="67"/>
      <c r="H333" s="78"/>
      <c r="J333" s="67"/>
    </row>
    <row r="334" ht="14.25" customHeight="1">
      <c r="C334" s="67"/>
      <c r="H334" s="78"/>
      <c r="J334" s="67"/>
    </row>
    <row r="335" ht="14.25" customHeight="1">
      <c r="C335" s="67"/>
      <c r="H335" s="78"/>
      <c r="J335" s="67"/>
    </row>
    <row r="336" ht="14.25" customHeight="1">
      <c r="C336" s="67"/>
      <c r="H336" s="78"/>
      <c r="J336" s="67"/>
    </row>
    <row r="337" ht="14.25" customHeight="1">
      <c r="C337" s="67"/>
      <c r="H337" s="78"/>
      <c r="J337" s="67"/>
    </row>
    <row r="338" ht="14.25" customHeight="1">
      <c r="C338" s="67"/>
      <c r="H338" s="78"/>
      <c r="J338" s="67"/>
    </row>
    <row r="339" ht="14.25" customHeight="1">
      <c r="C339" s="67"/>
      <c r="H339" s="78"/>
      <c r="J339" s="67"/>
    </row>
    <row r="340" ht="14.25" customHeight="1">
      <c r="C340" s="67"/>
      <c r="H340" s="78"/>
      <c r="J340" s="67"/>
    </row>
    <row r="341" ht="14.25" customHeight="1">
      <c r="C341" s="67"/>
      <c r="H341" s="78"/>
      <c r="J341" s="67"/>
    </row>
    <row r="342" ht="14.25" customHeight="1">
      <c r="C342" s="67"/>
      <c r="H342" s="78"/>
      <c r="J342" s="67"/>
    </row>
    <row r="343" ht="14.25" customHeight="1">
      <c r="C343" s="67"/>
      <c r="H343" s="78"/>
      <c r="J343" s="67"/>
    </row>
    <row r="344" ht="14.25" customHeight="1">
      <c r="C344" s="67"/>
      <c r="H344" s="78"/>
      <c r="J344" s="67"/>
    </row>
    <row r="345" ht="14.25" customHeight="1">
      <c r="C345" s="67"/>
      <c r="H345" s="78"/>
      <c r="J345" s="67"/>
    </row>
    <row r="346" ht="14.25" customHeight="1">
      <c r="C346" s="67"/>
      <c r="H346" s="78"/>
      <c r="J346" s="67"/>
    </row>
    <row r="347" ht="14.25" customHeight="1">
      <c r="C347" s="67"/>
      <c r="H347" s="78"/>
      <c r="J347" s="67"/>
    </row>
    <row r="348" ht="14.25" customHeight="1">
      <c r="C348" s="67"/>
      <c r="H348" s="78"/>
      <c r="J348" s="67"/>
    </row>
    <row r="349" ht="14.25" customHeight="1">
      <c r="C349" s="67"/>
      <c r="H349" s="78"/>
      <c r="J349" s="67"/>
    </row>
    <row r="350" ht="14.25" customHeight="1">
      <c r="C350" s="67"/>
      <c r="H350" s="78"/>
      <c r="J350" s="67"/>
    </row>
    <row r="351" ht="14.25" customHeight="1">
      <c r="C351" s="67"/>
      <c r="H351" s="78"/>
      <c r="J351" s="67"/>
    </row>
    <row r="352" ht="14.25" customHeight="1">
      <c r="C352" s="67"/>
      <c r="H352" s="78"/>
      <c r="J352" s="67"/>
    </row>
    <row r="353" ht="14.25" customHeight="1">
      <c r="C353" s="67"/>
      <c r="H353" s="78"/>
      <c r="J353" s="67"/>
    </row>
    <row r="354" ht="14.25" customHeight="1">
      <c r="C354" s="67"/>
      <c r="H354" s="78"/>
      <c r="J354" s="67"/>
    </row>
    <row r="355" ht="14.25" customHeight="1">
      <c r="C355" s="67"/>
      <c r="H355" s="78"/>
      <c r="J355" s="67"/>
    </row>
    <row r="356" ht="14.25" customHeight="1">
      <c r="C356" s="67"/>
      <c r="H356" s="78"/>
      <c r="J356" s="67"/>
    </row>
    <row r="357" ht="14.25" customHeight="1">
      <c r="C357" s="67"/>
      <c r="H357" s="78"/>
      <c r="J357" s="67"/>
    </row>
    <row r="358" ht="14.25" customHeight="1">
      <c r="C358" s="67"/>
      <c r="H358" s="78"/>
      <c r="J358" s="67"/>
    </row>
    <row r="359" ht="14.25" customHeight="1">
      <c r="C359" s="67"/>
      <c r="H359" s="78"/>
      <c r="J359" s="67"/>
    </row>
    <row r="360" ht="14.25" customHeight="1">
      <c r="C360" s="67"/>
      <c r="H360" s="78"/>
      <c r="J360" s="67"/>
    </row>
    <row r="361" ht="14.25" customHeight="1">
      <c r="C361" s="67"/>
      <c r="H361" s="78"/>
      <c r="J361" s="67"/>
    </row>
    <row r="362" ht="14.25" customHeight="1">
      <c r="C362" s="67"/>
      <c r="H362" s="78"/>
      <c r="J362" s="67"/>
    </row>
    <row r="363" ht="14.25" customHeight="1">
      <c r="C363" s="67"/>
      <c r="H363" s="78"/>
      <c r="J363" s="67"/>
    </row>
    <row r="364" ht="14.25" customHeight="1">
      <c r="C364" s="67"/>
      <c r="H364" s="78"/>
      <c r="J364" s="67"/>
    </row>
    <row r="365" ht="14.25" customHeight="1">
      <c r="C365" s="67"/>
      <c r="H365" s="78"/>
      <c r="J365" s="67"/>
    </row>
    <row r="366" ht="14.25" customHeight="1">
      <c r="C366" s="67"/>
      <c r="H366" s="78"/>
      <c r="J366" s="67"/>
    </row>
    <row r="367" ht="14.25" customHeight="1">
      <c r="C367" s="67"/>
      <c r="H367" s="78"/>
      <c r="J367" s="67"/>
    </row>
    <row r="368" ht="14.25" customHeight="1">
      <c r="C368" s="67"/>
      <c r="H368" s="78"/>
      <c r="J368" s="67"/>
    </row>
    <row r="369" ht="14.25" customHeight="1">
      <c r="C369" s="67"/>
      <c r="H369" s="78"/>
      <c r="J369" s="67"/>
    </row>
    <row r="370" ht="14.25" customHeight="1">
      <c r="C370" s="67"/>
      <c r="H370" s="78"/>
      <c r="J370" s="67"/>
    </row>
    <row r="371" ht="14.25" customHeight="1">
      <c r="C371" s="67"/>
      <c r="H371" s="78"/>
      <c r="J371" s="67"/>
    </row>
    <row r="372" ht="14.25" customHeight="1">
      <c r="C372" s="67"/>
      <c r="H372" s="78"/>
      <c r="J372" s="67"/>
    </row>
    <row r="373" ht="14.25" customHeight="1">
      <c r="C373" s="67"/>
      <c r="H373" s="78"/>
      <c r="J373" s="67"/>
    </row>
    <row r="374" ht="14.25" customHeight="1">
      <c r="C374" s="67"/>
      <c r="H374" s="78"/>
      <c r="J374" s="67"/>
    </row>
    <row r="375" ht="14.25" customHeight="1">
      <c r="C375" s="67"/>
      <c r="H375" s="78"/>
      <c r="J375" s="67"/>
    </row>
    <row r="376" ht="14.25" customHeight="1">
      <c r="C376" s="67"/>
      <c r="H376" s="78"/>
      <c r="J376" s="67"/>
    </row>
    <row r="377" ht="14.25" customHeight="1">
      <c r="C377" s="67"/>
      <c r="H377" s="78"/>
      <c r="J377" s="67"/>
    </row>
    <row r="378" ht="14.25" customHeight="1">
      <c r="C378" s="67"/>
      <c r="H378" s="78"/>
      <c r="J378" s="67"/>
    </row>
    <row r="379" ht="14.25" customHeight="1">
      <c r="C379" s="67"/>
      <c r="H379" s="78"/>
      <c r="J379" s="67"/>
    </row>
    <row r="380" ht="14.25" customHeight="1">
      <c r="C380" s="67"/>
      <c r="H380" s="78"/>
      <c r="J380" s="67"/>
    </row>
    <row r="381" ht="14.25" customHeight="1">
      <c r="C381" s="67"/>
      <c r="H381" s="78"/>
      <c r="J381" s="67"/>
    </row>
    <row r="382" ht="14.25" customHeight="1">
      <c r="C382" s="67"/>
      <c r="H382" s="78"/>
      <c r="J382" s="67"/>
    </row>
    <row r="383" ht="14.25" customHeight="1">
      <c r="C383" s="67"/>
      <c r="H383" s="78"/>
      <c r="J383" s="67"/>
    </row>
    <row r="384" ht="14.25" customHeight="1">
      <c r="C384" s="67"/>
      <c r="H384" s="78"/>
      <c r="J384" s="67"/>
    </row>
    <row r="385" ht="14.25" customHeight="1">
      <c r="C385" s="67"/>
      <c r="H385" s="78"/>
      <c r="J385" s="67"/>
    </row>
    <row r="386" ht="14.25" customHeight="1">
      <c r="C386" s="67"/>
      <c r="H386" s="78"/>
      <c r="J386" s="67"/>
    </row>
    <row r="387" ht="14.25" customHeight="1">
      <c r="C387" s="67"/>
      <c r="H387" s="78"/>
      <c r="J387" s="67"/>
    </row>
    <row r="388" ht="14.25" customHeight="1">
      <c r="C388" s="67"/>
      <c r="H388" s="78"/>
      <c r="J388" s="67"/>
    </row>
    <row r="389" ht="14.25" customHeight="1">
      <c r="C389" s="67"/>
      <c r="H389" s="78"/>
      <c r="J389" s="67"/>
    </row>
    <row r="390" ht="14.25" customHeight="1">
      <c r="C390" s="67"/>
      <c r="H390" s="78"/>
      <c r="J390" s="67"/>
    </row>
    <row r="391" ht="14.25" customHeight="1">
      <c r="C391" s="67"/>
      <c r="H391" s="78"/>
      <c r="J391" s="67"/>
    </row>
    <row r="392" ht="14.25" customHeight="1">
      <c r="C392" s="67"/>
      <c r="H392" s="78"/>
      <c r="J392" s="67"/>
    </row>
    <row r="393" ht="14.25" customHeight="1">
      <c r="C393" s="67"/>
      <c r="H393" s="78"/>
      <c r="J393" s="67"/>
    </row>
    <row r="394" ht="14.25" customHeight="1">
      <c r="C394" s="67"/>
      <c r="H394" s="78"/>
      <c r="J394" s="67"/>
    </row>
    <row r="395" ht="14.25" customHeight="1">
      <c r="C395" s="67"/>
      <c r="H395" s="78"/>
      <c r="J395" s="67"/>
    </row>
    <row r="396" ht="14.25" customHeight="1">
      <c r="C396" s="67"/>
      <c r="H396" s="78"/>
      <c r="J396" s="67"/>
    </row>
    <row r="397" ht="14.25" customHeight="1">
      <c r="C397" s="67"/>
      <c r="H397" s="78"/>
      <c r="J397" s="67"/>
    </row>
    <row r="398" ht="14.25" customHeight="1">
      <c r="C398" s="67"/>
      <c r="H398" s="78"/>
      <c r="J398" s="67"/>
    </row>
    <row r="399" ht="14.25" customHeight="1">
      <c r="C399" s="67"/>
      <c r="H399" s="78"/>
      <c r="J399" s="67"/>
    </row>
    <row r="400" ht="14.25" customHeight="1">
      <c r="C400" s="67"/>
      <c r="H400" s="78"/>
      <c r="J400" s="67"/>
    </row>
    <row r="401" ht="14.25" customHeight="1">
      <c r="C401" s="67"/>
      <c r="H401" s="78"/>
      <c r="J401" s="67"/>
    </row>
    <row r="402" ht="14.25" customHeight="1">
      <c r="C402" s="67"/>
      <c r="H402" s="78"/>
      <c r="J402" s="67"/>
    </row>
    <row r="403" ht="14.25" customHeight="1">
      <c r="C403" s="67"/>
      <c r="H403" s="78"/>
      <c r="J403" s="67"/>
    </row>
    <row r="404" ht="14.25" customHeight="1">
      <c r="C404" s="67"/>
      <c r="H404" s="78"/>
      <c r="J404" s="67"/>
    </row>
    <row r="405" ht="14.25" customHeight="1">
      <c r="C405" s="67"/>
      <c r="H405" s="78"/>
      <c r="J405" s="67"/>
    </row>
    <row r="406" ht="14.25" customHeight="1">
      <c r="C406" s="67"/>
      <c r="H406" s="78"/>
      <c r="J406" s="67"/>
    </row>
    <row r="407" ht="14.25" customHeight="1">
      <c r="C407" s="67"/>
      <c r="H407" s="78"/>
      <c r="J407" s="67"/>
    </row>
    <row r="408" ht="14.25" customHeight="1">
      <c r="C408" s="67"/>
      <c r="H408" s="78"/>
      <c r="J408" s="67"/>
    </row>
    <row r="409" ht="14.25" customHeight="1">
      <c r="C409" s="67"/>
      <c r="H409" s="78"/>
      <c r="J409" s="67"/>
    </row>
    <row r="410" ht="14.25" customHeight="1">
      <c r="C410" s="67"/>
      <c r="H410" s="78"/>
      <c r="J410" s="67"/>
    </row>
    <row r="411" ht="14.25" customHeight="1">
      <c r="C411" s="67"/>
      <c r="H411" s="78"/>
      <c r="J411" s="67"/>
    </row>
    <row r="412" ht="14.25" customHeight="1">
      <c r="C412" s="67"/>
      <c r="H412" s="78"/>
      <c r="J412" s="67"/>
    </row>
    <row r="413" ht="14.25" customHeight="1">
      <c r="C413" s="67"/>
      <c r="H413" s="78"/>
      <c r="J413" s="67"/>
    </row>
    <row r="414" ht="14.25" customHeight="1">
      <c r="C414" s="67"/>
      <c r="H414" s="78"/>
      <c r="J414" s="67"/>
    </row>
    <row r="415" ht="14.25" customHeight="1">
      <c r="C415" s="67"/>
      <c r="H415" s="78"/>
      <c r="J415" s="67"/>
    </row>
    <row r="416" ht="14.25" customHeight="1">
      <c r="C416" s="67"/>
      <c r="H416" s="78"/>
      <c r="J416" s="67"/>
    </row>
    <row r="417" ht="14.25" customHeight="1">
      <c r="C417" s="67"/>
      <c r="H417" s="78"/>
      <c r="J417" s="67"/>
    </row>
    <row r="418" ht="14.25" customHeight="1">
      <c r="C418" s="67"/>
      <c r="H418" s="78"/>
      <c r="J418" s="67"/>
    </row>
    <row r="419" ht="14.25" customHeight="1">
      <c r="C419" s="67"/>
      <c r="H419" s="78"/>
      <c r="J419" s="67"/>
    </row>
    <row r="420" ht="14.25" customHeight="1">
      <c r="C420" s="67"/>
      <c r="H420" s="78"/>
      <c r="J420" s="67"/>
    </row>
    <row r="421" ht="14.25" customHeight="1">
      <c r="C421" s="67"/>
      <c r="H421" s="78"/>
      <c r="J421" s="67"/>
    </row>
    <row r="422" ht="14.25" customHeight="1">
      <c r="C422" s="67"/>
      <c r="H422" s="78"/>
      <c r="J422" s="67"/>
    </row>
    <row r="423" ht="14.25" customHeight="1">
      <c r="C423" s="67"/>
      <c r="H423" s="78"/>
      <c r="J423" s="67"/>
    </row>
    <row r="424" ht="14.25" customHeight="1">
      <c r="C424" s="67"/>
      <c r="H424" s="78"/>
      <c r="J424" s="67"/>
    </row>
    <row r="425" ht="14.25" customHeight="1">
      <c r="C425" s="67"/>
      <c r="H425" s="78"/>
      <c r="J425" s="67"/>
    </row>
    <row r="426" ht="14.25" customHeight="1">
      <c r="C426" s="67"/>
      <c r="H426" s="78"/>
      <c r="J426" s="67"/>
    </row>
    <row r="427" ht="14.25" customHeight="1">
      <c r="C427" s="67"/>
      <c r="H427" s="78"/>
      <c r="J427" s="67"/>
    </row>
    <row r="428" ht="14.25" customHeight="1">
      <c r="C428" s="67"/>
      <c r="H428" s="78"/>
      <c r="J428" s="67"/>
    </row>
    <row r="429" ht="14.25" customHeight="1">
      <c r="C429" s="67"/>
      <c r="H429" s="78"/>
      <c r="J429" s="67"/>
    </row>
    <row r="430" ht="14.25" customHeight="1">
      <c r="C430" s="67"/>
      <c r="H430" s="78"/>
      <c r="J430" s="67"/>
    </row>
    <row r="431" ht="14.25" customHeight="1">
      <c r="C431" s="67"/>
      <c r="H431" s="78"/>
      <c r="J431" s="67"/>
    </row>
    <row r="432" ht="14.25" customHeight="1">
      <c r="C432" s="67"/>
      <c r="H432" s="78"/>
      <c r="J432" s="67"/>
    </row>
    <row r="433" ht="14.25" customHeight="1">
      <c r="C433" s="67"/>
      <c r="H433" s="78"/>
      <c r="J433" s="67"/>
    </row>
    <row r="434" ht="14.25" customHeight="1">
      <c r="C434" s="67"/>
      <c r="H434" s="78"/>
      <c r="J434" s="67"/>
    </row>
    <row r="435" ht="14.25" customHeight="1">
      <c r="C435" s="67"/>
      <c r="H435" s="78"/>
      <c r="J435" s="67"/>
    </row>
    <row r="436" ht="14.25" customHeight="1">
      <c r="C436" s="67"/>
      <c r="H436" s="78"/>
      <c r="J436" s="67"/>
    </row>
    <row r="437" ht="14.25" customHeight="1">
      <c r="C437" s="67"/>
      <c r="H437" s="78"/>
      <c r="J437" s="67"/>
    </row>
    <row r="438" ht="14.25" customHeight="1">
      <c r="C438" s="67"/>
      <c r="H438" s="78"/>
      <c r="J438" s="67"/>
    </row>
    <row r="439" ht="14.25" customHeight="1">
      <c r="C439" s="67"/>
      <c r="H439" s="78"/>
      <c r="J439" s="67"/>
    </row>
    <row r="440" ht="14.25" customHeight="1">
      <c r="C440" s="67"/>
      <c r="H440" s="78"/>
      <c r="J440" s="67"/>
    </row>
    <row r="441" ht="14.25" customHeight="1">
      <c r="C441" s="67"/>
      <c r="H441" s="78"/>
      <c r="J441" s="67"/>
    </row>
    <row r="442" ht="14.25" customHeight="1">
      <c r="C442" s="67"/>
      <c r="H442" s="78"/>
      <c r="J442" s="67"/>
    </row>
    <row r="443" ht="14.25" customHeight="1">
      <c r="C443" s="67"/>
      <c r="H443" s="78"/>
      <c r="J443" s="67"/>
    </row>
    <row r="444" ht="14.25" customHeight="1">
      <c r="C444" s="67"/>
      <c r="H444" s="78"/>
      <c r="J444" s="67"/>
    </row>
    <row r="445" ht="14.25" customHeight="1">
      <c r="C445" s="67"/>
      <c r="H445" s="78"/>
      <c r="J445" s="67"/>
    </row>
    <row r="446" ht="14.25" customHeight="1">
      <c r="C446" s="67"/>
      <c r="H446" s="78"/>
      <c r="J446" s="67"/>
    </row>
    <row r="447" ht="14.25" customHeight="1">
      <c r="C447" s="67"/>
      <c r="H447" s="78"/>
      <c r="J447" s="67"/>
    </row>
    <row r="448" ht="14.25" customHeight="1">
      <c r="C448" s="67"/>
      <c r="H448" s="78"/>
      <c r="J448" s="67"/>
    </row>
    <row r="449" ht="14.25" customHeight="1">
      <c r="C449" s="67"/>
      <c r="H449" s="78"/>
      <c r="J449" s="67"/>
    </row>
    <row r="450" ht="14.25" customHeight="1">
      <c r="C450" s="67"/>
      <c r="H450" s="78"/>
      <c r="J450" s="67"/>
    </row>
    <row r="451" ht="14.25" customHeight="1">
      <c r="C451" s="67"/>
      <c r="H451" s="78"/>
      <c r="J451" s="67"/>
    </row>
    <row r="452" ht="14.25" customHeight="1">
      <c r="C452" s="67"/>
      <c r="H452" s="78"/>
      <c r="J452" s="67"/>
    </row>
    <row r="453" ht="14.25" customHeight="1">
      <c r="C453" s="67"/>
      <c r="H453" s="78"/>
      <c r="J453" s="67"/>
    </row>
    <row r="454" ht="14.25" customHeight="1">
      <c r="C454" s="67"/>
      <c r="H454" s="78"/>
      <c r="J454" s="67"/>
    </row>
    <row r="455" ht="14.25" customHeight="1">
      <c r="C455" s="67"/>
      <c r="H455" s="78"/>
      <c r="J455" s="67"/>
    </row>
    <row r="456" ht="14.25" customHeight="1">
      <c r="C456" s="67"/>
      <c r="H456" s="78"/>
      <c r="J456" s="67"/>
    </row>
    <row r="457" ht="14.25" customHeight="1">
      <c r="C457" s="67"/>
      <c r="H457" s="78"/>
      <c r="J457" s="67"/>
    </row>
    <row r="458" ht="14.25" customHeight="1">
      <c r="C458" s="67"/>
      <c r="H458" s="78"/>
      <c r="J458" s="67"/>
    </row>
    <row r="459" ht="14.25" customHeight="1">
      <c r="C459" s="67"/>
      <c r="H459" s="78"/>
      <c r="J459" s="67"/>
    </row>
    <row r="460" ht="14.25" customHeight="1">
      <c r="C460" s="67"/>
      <c r="H460" s="78"/>
      <c r="J460" s="67"/>
    </row>
    <row r="461" ht="14.25" customHeight="1">
      <c r="C461" s="67"/>
      <c r="H461" s="78"/>
      <c r="J461" s="67"/>
    </row>
    <row r="462" ht="14.25" customHeight="1">
      <c r="C462" s="67"/>
      <c r="H462" s="78"/>
      <c r="J462" s="67"/>
    </row>
    <row r="463" ht="14.25" customHeight="1">
      <c r="C463" s="67"/>
      <c r="H463" s="78"/>
      <c r="J463" s="67"/>
    </row>
    <row r="464" ht="14.25" customHeight="1">
      <c r="C464" s="67"/>
      <c r="H464" s="78"/>
      <c r="J464" s="67"/>
    </row>
    <row r="465" ht="14.25" customHeight="1">
      <c r="C465" s="67"/>
      <c r="H465" s="78"/>
      <c r="J465" s="67"/>
    </row>
    <row r="466" ht="14.25" customHeight="1">
      <c r="C466" s="67"/>
      <c r="H466" s="78"/>
      <c r="J466" s="67"/>
    </row>
    <row r="467" ht="14.25" customHeight="1">
      <c r="C467" s="67"/>
      <c r="H467" s="78"/>
      <c r="J467" s="67"/>
    </row>
    <row r="468" ht="14.25" customHeight="1">
      <c r="C468" s="67"/>
      <c r="H468" s="78"/>
      <c r="J468" s="67"/>
    </row>
    <row r="469" ht="14.25" customHeight="1">
      <c r="C469" s="67"/>
      <c r="H469" s="78"/>
      <c r="J469" s="67"/>
    </row>
    <row r="470" ht="14.25" customHeight="1">
      <c r="C470" s="67"/>
      <c r="H470" s="78"/>
      <c r="J470" s="67"/>
    </row>
    <row r="471" ht="14.25" customHeight="1">
      <c r="C471" s="67"/>
      <c r="H471" s="78"/>
      <c r="J471" s="67"/>
    </row>
    <row r="472" ht="14.25" customHeight="1">
      <c r="C472" s="67"/>
      <c r="H472" s="78"/>
      <c r="J472" s="67"/>
    </row>
    <row r="473" ht="14.25" customHeight="1">
      <c r="C473" s="67"/>
      <c r="H473" s="78"/>
      <c r="J473" s="67"/>
    </row>
    <row r="474" ht="14.25" customHeight="1">
      <c r="C474" s="67"/>
      <c r="H474" s="78"/>
      <c r="J474" s="67"/>
    </row>
    <row r="475" ht="14.25" customHeight="1">
      <c r="C475" s="67"/>
      <c r="H475" s="78"/>
      <c r="J475" s="67"/>
    </row>
    <row r="476" ht="14.25" customHeight="1">
      <c r="C476" s="67"/>
      <c r="H476" s="78"/>
      <c r="J476" s="67"/>
    </row>
    <row r="477" ht="14.25" customHeight="1">
      <c r="C477" s="67"/>
      <c r="H477" s="78"/>
      <c r="J477" s="67"/>
    </row>
    <row r="478" ht="14.25" customHeight="1">
      <c r="C478" s="67"/>
      <c r="H478" s="78"/>
      <c r="J478" s="67"/>
    </row>
    <row r="479" ht="14.25" customHeight="1">
      <c r="C479" s="67"/>
      <c r="H479" s="78"/>
      <c r="J479" s="67"/>
    </row>
    <row r="480" ht="14.25" customHeight="1">
      <c r="C480" s="67"/>
      <c r="H480" s="78"/>
      <c r="J480" s="67"/>
    </row>
    <row r="481" ht="14.25" customHeight="1">
      <c r="C481" s="67"/>
      <c r="H481" s="78"/>
      <c r="J481" s="67"/>
    </row>
    <row r="482" ht="14.25" customHeight="1">
      <c r="C482" s="67"/>
      <c r="H482" s="78"/>
      <c r="J482" s="67"/>
    </row>
    <row r="483" ht="14.25" customHeight="1">
      <c r="C483" s="67"/>
      <c r="H483" s="78"/>
      <c r="J483" s="67"/>
    </row>
    <row r="484" ht="14.25" customHeight="1">
      <c r="C484" s="67"/>
      <c r="H484" s="78"/>
      <c r="J484" s="67"/>
    </row>
    <row r="485" ht="14.25" customHeight="1">
      <c r="C485" s="67"/>
      <c r="H485" s="78"/>
      <c r="J485" s="67"/>
    </row>
    <row r="486" ht="14.25" customHeight="1">
      <c r="C486" s="67"/>
      <c r="H486" s="78"/>
      <c r="J486" s="67"/>
    </row>
    <row r="487" ht="14.25" customHeight="1">
      <c r="C487" s="67"/>
      <c r="H487" s="78"/>
      <c r="J487" s="67"/>
    </row>
    <row r="488" ht="14.25" customHeight="1">
      <c r="C488" s="67"/>
      <c r="H488" s="78"/>
      <c r="J488" s="67"/>
    </row>
    <row r="489" ht="14.25" customHeight="1">
      <c r="C489" s="67"/>
      <c r="H489" s="78"/>
      <c r="J489" s="67"/>
    </row>
    <row r="490" ht="14.25" customHeight="1">
      <c r="C490" s="67"/>
      <c r="H490" s="78"/>
      <c r="J490" s="67"/>
    </row>
    <row r="491" ht="14.25" customHeight="1">
      <c r="C491" s="67"/>
      <c r="H491" s="78"/>
      <c r="J491" s="67"/>
    </row>
    <row r="492" ht="14.25" customHeight="1">
      <c r="C492" s="67"/>
      <c r="H492" s="78"/>
      <c r="J492" s="67"/>
    </row>
    <row r="493" ht="14.25" customHeight="1">
      <c r="C493" s="67"/>
      <c r="H493" s="78"/>
      <c r="J493" s="67"/>
    </row>
    <row r="494" ht="14.25" customHeight="1">
      <c r="C494" s="67"/>
      <c r="H494" s="78"/>
      <c r="J494" s="67"/>
    </row>
    <row r="495" ht="14.25" customHeight="1">
      <c r="C495" s="67"/>
      <c r="H495" s="78"/>
      <c r="J495" s="67"/>
    </row>
    <row r="496" ht="14.25" customHeight="1">
      <c r="C496" s="67"/>
      <c r="H496" s="78"/>
      <c r="J496" s="67"/>
    </row>
    <row r="497" ht="14.25" customHeight="1">
      <c r="C497" s="67"/>
      <c r="H497" s="78"/>
      <c r="J497" s="67"/>
    </row>
    <row r="498" ht="14.25" customHeight="1">
      <c r="C498" s="67"/>
      <c r="H498" s="78"/>
      <c r="J498" s="67"/>
    </row>
    <row r="499" ht="14.25" customHeight="1">
      <c r="C499" s="67"/>
      <c r="H499" s="78"/>
      <c r="J499" s="67"/>
    </row>
    <row r="500" ht="14.25" customHeight="1">
      <c r="C500" s="67"/>
      <c r="H500" s="78"/>
      <c r="J500" s="67"/>
    </row>
    <row r="501" ht="14.25" customHeight="1">
      <c r="C501" s="67"/>
      <c r="H501" s="78"/>
      <c r="J501" s="67"/>
    </row>
    <row r="502" ht="14.25" customHeight="1">
      <c r="C502" s="67"/>
      <c r="H502" s="78"/>
      <c r="J502" s="67"/>
    </row>
    <row r="503" ht="14.25" customHeight="1">
      <c r="C503" s="67"/>
      <c r="H503" s="78"/>
      <c r="J503" s="67"/>
    </row>
    <row r="504" ht="14.25" customHeight="1">
      <c r="C504" s="67"/>
      <c r="H504" s="78"/>
      <c r="J504" s="67"/>
    </row>
    <row r="505" ht="14.25" customHeight="1">
      <c r="C505" s="67"/>
      <c r="H505" s="78"/>
      <c r="J505" s="67"/>
    </row>
    <row r="506" ht="14.25" customHeight="1">
      <c r="C506" s="67"/>
      <c r="H506" s="78"/>
      <c r="J506" s="67"/>
    </row>
    <row r="507" ht="14.25" customHeight="1">
      <c r="C507" s="67"/>
      <c r="H507" s="78"/>
      <c r="J507" s="67"/>
    </row>
    <row r="508" ht="14.25" customHeight="1">
      <c r="C508" s="67"/>
      <c r="H508" s="78"/>
      <c r="J508" s="67"/>
    </row>
    <row r="509" ht="14.25" customHeight="1">
      <c r="C509" s="67"/>
      <c r="H509" s="78"/>
      <c r="J509" s="67"/>
    </row>
    <row r="510" ht="14.25" customHeight="1">
      <c r="C510" s="67"/>
      <c r="H510" s="78"/>
      <c r="J510" s="67"/>
    </row>
    <row r="511" ht="14.25" customHeight="1">
      <c r="C511" s="67"/>
      <c r="H511" s="78"/>
      <c r="J511" s="67"/>
    </row>
    <row r="512" ht="14.25" customHeight="1">
      <c r="C512" s="67"/>
      <c r="H512" s="78"/>
      <c r="J512" s="67"/>
    </row>
    <row r="513" ht="14.25" customHeight="1">
      <c r="C513" s="67"/>
      <c r="H513" s="78"/>
      <c r="J513" s="67"/>
    </row>
    <row r="514" ht="14.25" customHeight="1">
      <c r="C514" s="67"/>
      <c r="H514" s="78"/>
      <c r="J514" s="67"/>
    </row>
    <row r="515" ht="14.25" customHeight="1">
      <c r="C515" s="67"/>
      <c r="H515" s="78"/>
      <c r="J515" s="67"/>
    </row>
    <row r="516" ht="14.25" customHeight="1">
      <c r="C516" s="67"/>
      <c r="H516" s="78"/>
      <c r="J516" s="67"/>
    </row>
    <row r="517" ht="14.25" customHeight="1">
      <c r="C517" s="67"/>
      <c r="H517" s="78"/>
      <c r="J517" s="67"/>
    </row>
    <row r="518" ht="14.25" customHeight="1">
      <c r="C518" s="67"/>
      <c r="H518" s="78"/>
      <c r="J518" s="67"/>
    </row>
    <row r="519" ht="14.25" customHeight="1">
      <c r="C519" s="67"/>
      <c r="H519" s="78"/>
      <c r="J519" s="67"/>
    </row>
    <row r="520" ht="14.25" customHeight="1">
      <c r="C520" s="67"/>
      <c r="H520" s="78"/>
      <c r="J520" s="67"/>
    </row>
    <row r="521" ht="14.25" customHeight="1">
      <c r="C521" s="67"/>
      <c r="H521" s="78"/>
      <c r="J521" s="67"/>
    </row>
    <row r="522" ht="14.25" customHeight="1">
      <c r="C522" s="67"/>
      <c r="H522" s="78"/>
      <c r="J522" s="67"/>
    </row>
    <row r="523" ht="14.25" customHeight="1">
      <c r="C523" s="67"/>
      <c r="H523" s="78"/>
      <c r="J523" s="67"/>
    </row>
    <row r="524" ht="14.25" customHeight="1">
      <c r="C524" s="67"/>
      <c r="H524" s="78"/>
      <c r="J524" s="67"/>
    </row>
    <row r="525" ht="14.25" customHeight="1">
      <c r="C525" s="67"/>
      <c r="H525" s="78"/>
      <c r="J525" s="67"/>
    </row>
    <row r="526" ht="14.25" customHeight="1">
      <c r="C526" s="67"/>
      <c r="H526" s="78"/>
      <c r="J526" s="67"/>
    </row>
    <row r="527" ht="14.25" customHeight="1">
      <c r="C527" s="67"/>
      <c r="H527" s="78"/>
      <c r="J527" s="67"/>
    </row>
    <row r="528" ht="14.25" customHeight="1">
      <c r="C528" s="67"/>
      <c r="H528" s="78"/>
      <c r="J528" s="67"/>
    </row>
    <row r="529" ht="14.25" customHeight="1">
      <c r="C529" s="67"/>
      <c r="H529" s="78"/>
      <c r="J529" s="67"/>
    </row>
    <row r="530" ht="14.25" customHeight="1">
      <c r="C530" s="67"/>
      <c r="H530" s="78"/>
      <c r="J530" s="67"/>
    </row>
    <row r="531" ht="14.25" customHeight="1">
      <c r="C531" s="67"/>
      <c r="H531" s="78"/>
      <c r="J531" s="67"/>
    </row>
    <row r="532" ht="14.25" customHeight="1">
      <c r="C532" s="67"/>
      <c r="H532" s="78"/>
      <c r="J532" s="67"/>
    </row>
    <row r="533" ht="14.25" customHeight="1">
      <c r="C533" s="67"/>
      <c r="H533" s="78"/>
      <c r="J533" s="67"/>
    </row>
    <row r="534" ht="14.25" customHeight="1">
      <c r="C534" s="67"/>
      <c r="H534" s="78"/>
      <c r="J534" s="67"/>
    </row>
    <row r="535" ht="14.25" customHeight="1">
      <c r="C535" s="67"/>
      <c r="H535" s="78"/>
      <c r="J535" s="67"/>
    </row>
    <row r="536" ht="14.25" customHeight="1">
      <c r="C536" s="67"/>
      <c r="H536" s="78"/>
      <c r="J536" s="67"/>
    </row>
    <row r="537" ht="14.25" customHeight="1">
      <c r="C537" s="67"/>
      <c r="H537" s="78"/>
      <c r="J537" s="67"/>
    </row>
    <row r="538" ht="14.25" customHeight="1">
      <c r="C538" s="67"/>
      <c r="H538" s="78"/>
      <c r="J538" s="67"/>
    </row>
    <row r="539" ht="14.25" customHeight="1">
      <c r="C539" s="67"/>
      <c r="H539" s="78"/>
      <c r="J539" s="67"/>
    </row>
    <row r="540" ht="14.25" customHeight="1">
      <c r="C540" s="67"/>
      <c r="H540" s="78"/>
      <c r="J540" s="67"/>
    </row>
    <row r="541" ht="14.25" customHeight="1">
      <c r="C541" s="67"/>
      <c r="H541" s="78"/>
      <c r="J541" s="67"/>
    </row>
    <row r="542" ht="14.25" customHeight="1">
      <c r="C542" s="67"/>
      <c r="H542" s="78"/>
      <c r="J542" s="67"/>
    </row>
    <row r="543" ht="14.25" customHeight="1">
      <c r="C543" s="67"/>
      <c r="H543" s="78"/>
      <c r="J543" s="67"/>
    </row>
    <row r="544" ht="14.25" customHeight="1">
      <c r="C544" s="67"/>
      <c r="H544" s="78"/>
      <c r="J544" s="67"/>
    </row>
    <row r="545" ht="14.25" customHeight="1">
      <c r="C545" s="67"/>
      <c r="H545" s="78"/>
      <c r="J545" s="67"/>
    </row>
    <row r="546" ht="14.25" customHeight="1">
      <c r="C546" s="67"/>
      <c r="H546" s="78"/>
      <c r="J546" s="67"/>
    </row>
    <row r="547" ht="14.25" customHeight="1">
      <c r="C547" s="67"/>
      <c r="H547" s="78"/>
      <c r="J547" s="67"/>
    </row>
    <row r="548" ht="14.25" customHeight="1">
      <c r="C548" s="67"/>
      <c r="H548" s="78"/>
      <c r="J548" s="67"/>
    </row>
    <row r="549" ht="14.25" customHeight="1">
      <c r="C549" s="67"/>
      <c r="H549" s="78"/>
      <c r="J549" s="67"/>
    </row>
    <row r="550" ht="14.25" customHeight="1">
      <c r="C550" s="67"/>
      <c r="H550" s="78"/>
      <c r="J550" s="67"/>
    </row>
    <row r="551" ht="14.25" customHeight="1">
      <c r="C551" s="67"/>
      <c r="H551" s="78"/>
      <c r="J551" s="67"/>
    </row>
    <row r="552" ht="14.25" customHeight="1">
      <c r="C552" s="67"/>
      <c r="H552" s="78"/>
      <c r="J552" s="67"/>
    </row>
    <row r="553" ht="14.25" customHeight="1">
      <c r="C553" s="67"/>
      <c r="H553" s="78"/>
      <c r="J553" s="67"/>
    </row>
    <row r="554" ht="14.25" customHeight="1">
      <c r="C554" s="67"/>
      <c r="H554" s="78"/>
      <c r="J554" s="67"/>
    </row>
    <row r="555" ht="14.25" customHeight="1">
      <c r="C555" s="67"/>
      <c r="H555" s="78"/>
      <c r="J555" s="67"/>
    </row>
    <row r="556" ht="14.25" customHeight="1">
      <c r="C556" s="67"/>
      <c r="H556" s="78"/>
      <c r="J556" s="67"/>
    </row>
    <row r="557" ht="14.25" customHeight="1">
      <c r="C557" s="67"/>
      <c r="H557" s="78"/>
      <c r="J557" s="67"/>
    </row>
    <row r="558" ht="14.25" customHeight="1">
      <c r="C558" s="67"/>
      <c r="H558" s="78"/>
      <c r="J558" s="67"/>
    </row>
    <row r="559" ht="14.25" customHeight="1">
      <c r="C559" s="67"/>
      <c r="H559" s="78"/>
      <c r="J559" s="67"/>
    </row>
    <row r="560" ht="14.25" customHeight="1">
      <c r="C560" s="67"/>
      <c r="H560" s="78"/>
      <c r="J560" s="67"/>
    </row>
    <row r="561" ht="14.25" customHeight="1">
      <c r="C561" s="67"/>
      <c r="H561" s="78"/>
      <c r="J561" s="67"/>
    </row>
    <row r="562" ht="14.25" customHeight="1">
      <c r="C562" s="67"/>
      <c r="H562" s="78"/>
      <c r="J562" s="67"/>
    </row>
    <row r="563" ht="14.25" customHeight="1">
      <c r="C563" s="67"/>
      <c r="H563" s="78"/>
      <c r="J563" s="67"/>
    </row>
    <row r="564" ht="14.25" customHeight="1">
      <c r="C564" s="67"/>
      <c r="H564" s="78"/>
      <c r="J564" s="67"/>
    </row>
    <row r="565" ht="14.25" customHeight="1">
      <c r="C565" s="67"/>
      <c r="H565" s="78"/>
      <c r="J565" s="67"/>
    </row>
    <row r="566" ht="14.25" customHeight="1">
      <c r="C566" s="67"/>
      <c r="H566" s="78"/>
      <c r="J566" s="67"/>
    </row>
    <row r="567" ht="14.25" customHeight="1">
      <c r="C567" s="67"/>
      <c r="H567" s="78"/>
      <c r="J567" s="67"/>
    </row>
    <row r="568" ht="14.25" customHeight="1">
      <c r="C568" s="67"/>
      <c r="H568" s="78"/>
      <c r="J568" s="67"/>
    </row>
    <row r="569" ht="14.25" customHeight="1">
      <c r="C569" s="67"/>
      <c r="H569" s="78"/>
      <c r="J569" s="67"/>
    </row>
    <row r="570" ht="14.25" customHeight="1">
      <c r="C570" s="67"/>
      <c r="H570" s="78"/>
      <c r="J570" s="67"/>
    </row>
    <row r="571" ht="14.25" customHeight="1">
      <c r="C571" s="67"/>
      <c r="H571" s="78"/>
      <c r="J571" s="67"/>
    </row>
    <row r="572" ht="14.25" customHeight="1">
      <c r="C572" s="67"/>
      <c r="H572" s="78"/>
      <c r="J572" s="67"/>
    </row>
    <row r="573" ht="14.25" customHeight="1">
      <c r="C573" s="67"/>
      <c r="H573" s="78"/>
      <c r="J573" s="67"/>
    </row>
    <row r="574" ht="14.25" customHeight="1">
      <c r="C574" s="67"/>
      <c r="H574" s="78"/>
      <c r="J574" s="67"/>
    </row>
    <row r="575" ht="14.25" customHeight="1">
      <c r="C575" s="67"/>
      <c r="H575" s="78"/>
      <c r="J575" s="67"/>
    </row>
    <row r="576" ht="14.25" customHeight="1">
      <c r="C576" s="67"/>
      <c r="H576" s="78"/>
      <c r="J576" s="67"/>
    </row>
    <row r="577" ht="14.25" customHeight="1">
      <c r="C577" s="67"/>
      <c r="H577" s="78"/>
      <c r="J577" s="67"/>
    </row>
    <row r="578" ht="14.25" customHeight="1">
      <c r="C578" s="67"/>
      <c r="H578" s="78"/>
      <c r="J578" s="67"/>
    </row>
    <row r="579" ht="14.25" customHeight="1">
      <c r="C579" s="67"/>
      <c r="H579" s="78"/>
      <c r="J579" s="67"/>
    </row>
    <row r="580" ht="14.25" customHeight="1">
      <c r="C580" s="67"/>
      <c r="H580" s="78"/>
      <c r="J580" s="67"/>
    </row>
    <row r="581" ht="14.25" customHeight="1">
      <c r="C581" s="67"/>
      <c r="H581" s="78"/>
      <c r="J581" s="67"/>
    </row>
    <row r="582" ht="14.25" customHeight="1">
      <c r="C582" s="67"/>
      <c r="H582" s="78"/>
      <c r="J582" s="67"/>
    </row>
    <row r="583" ht="14.25" customHeight="1">
      <c r="C583" s="67"/>
      <c r="H583" s="78"/>
      <c r="J583" s="67"/>
    </row>
    <row r="584" ht="14.25" customHeight="1">
      <c r="C584" s="67"/>
      <c r="H584" s="78"/>
      <c r="J584" s="67"/>
    </row>
    <row r="585" ht="14.25" customHeight="1">
      <c r="C585" s="67"/>
      <c r="H585" s="78"/>
      <c r="J585" s="67"/>
    </row>
    <row r="586" ht="14.25" customHeight="1">
      <c r="C586" s="67"/>
      <c r="H586" s="78"/>
      <c r="J586" s="67"/>
    </row>
    <row r="587" ht="14.25" customHeight="1">
      <c r="C587" s="67"/>
      <c r="H587" s="78"/>
      <c r="J587" s="67"/>
    </row>
    <row r="588" ht="14.25" customHeight="1">
      <c r="C588" s="67"/>
      <c r="H588" s="78"/>
      <c r="J588" s="67"/>
    </row>
    <row r="589" ht="14.25" customHeight="1">
      <c r="C589" s="67"/>
      <c r="H589" s="78"/>
      <c r="J589" s="67"/>
    </row>
    <row r="590" ht="14.25" customHeight="1">
      <c r="C590" s="67"/>
      <c r="H590" s="78"/>
      <c r="J590" s="67"/>
    </row>
    <row r="591" ht="14.25" customHeight="1">
      <c r="C591" s="67"/>
      <c r="H591" s="78"/>
      <c r="J591" s="67"/>
    </row>
    <row r="592" ht="14.25" customHeight="1">
      <c r="C592" s="67"/>
      <c r="H592" s="78"/>
      <c r="J592" s="67"/>
    </row>
    <row r="593" ht="14.25" customHeight="1">
      <c r="C593" s="67"/>
      <c r="H593" s="78"/>
      <c r="J593" s="67"/>
    </row>
    <row r="594" ht="14.25" customHeight="1">
      <c r="C594" s="67"/>
      <c r="H594" s="78"/>
      <c r="J594" s="67"/>
    </row>
    <row r="595" ht="14.25" customHeight="1">
      <c r="C595" s="67"/>
      <c r="H595" s="78"/>
      <c r="J595" s="67"/>
    </row>
    <row r="596" ht="14.25" customHeight="1">
      <c r="C596" s="67"/>
      <c r="H596" s="78"/>
      <c r="J596" s="67"/>
    </row>
    <row r="597" ht="14.25" customHeight="1">
      <c r="C597" s="67"/>
      <c r="H597" s="78"/>
      <c r="J597" s="67"/>
    </row>
    <row r="598" ht="14.25" customHeight="1">
      <c r="C598" s="67"/>
      <c r="H598" s="78"/>
      <c r="J598" s="67"/>
    </row>
    <row r="599" ht="14.25" customHeight="1">
      <c r="C599" s="67"/>
      <c r="H599" s="78"/>
      <c r="J599" s="67"/>
    </row>
    <row r="600" ht="14.25" customHeight="1">
      <c r="C600" s="67"/>
      <c r="H600" s="78"/>
      <c r="J600" s="67"/>
    </row>
    <row r="601" ht="14.25" customHeight="1">
      <c r="C601" s="67"/>
      <c r="H601" s="78"/>
      <c r="J601" s="67"/>
    </row>
    <row r="602" ht="14.25" customHeight="1">
      <c r="C602" s="67"/>
      <c r="H602" s="78"/>
      <c r="J602" s="67"/>
    </row>
    <row r="603" ht="14.25" customHeight="1">
      <c r="C603" s="67"/>
      <c r="H603" s="78"/>
      <c r="J603" s="67"/>
    </row>
    <row r="604" ht="14.25" customHeight="1">
      <c r="C604" s="67"/>
      <c r="H604" s="78"/>
      <c r="J604" s="67"/>
    </row>
    <row r="605" ht="14.25" customHeight="1">
      <c r="C605" s="67"/>
      <c r="H605" s="78"/>
      <c r="J605" s="67"/>
    </row>
    <row r="606" ht="14.25" customHeight="1">
      <c r="C606" s="67"/>
      <c r="H606" s="78"/>
      <c r="J606" s="67"/>
    </row>
    <row r="607" ht="14.25" customHeight="1">
      <c r="C607" s="67"/>
      <c r="H607" s="78"/>
      <c r="J607" s="67"/>
    </row>
    <row r="608" ht="14.25" customHeight="1">
      <c r="C608" s="67"/>
      <c r="H608" s="78"/>
      <c r="J608" s="67"/>
    </row>
    <row r="609" ht="14.25" customHeight="1">
      <c r="C609" s="67"/>
      <c r="H609" s="78"/>
      <c r="J609" s="67"/>
    </row>
    <row r="610" ht="14.25" customHeight="1">
      <c r="C610" s="67"/>
      <c r="H610" s="78"/>
      <c r="J610" s="67"/>
    </row>
    <row r="611" ht="14.25" customHeight="1">
      <c r="C611" s="67"/>
      <c r="H611" s="78"/>
      <c r="J611" s="67"/>
    </row>
    <row r="612" ht="14.25" customHeight="1">
      <c r="C612" s="67"/>
      <c r="H612" s="78"/>
      <c r="J612" s="67"/>
    </row>
    <row r="613" ht="14.25" customHeight="1">
      <c r="C613" s="67"/>
      <c r="H613" s="78"/>
      <c r="J613" s="67"/>
    </row>
    <row r="614" ht="14.25" customHeight="1">
      <c r="C614" s="67"/>
      <c r="H614" s="78"/>
      <c r="J614" s="67"/>
    </row>
    <row r="615" ht="14.25" customHeight="1">
      <c r="C615" s="67"/>
      <c r="H615" s="78"/>
      <c r="J615" s="67"/>
    </row>
    <row r="616" ht="14.25" customHeight="1">
      <c r="C616" s="67"/>
      <c r="H616" s="78"/>
      <c r="J616" s="67"/>
    </row>
    <row r="617" ht="14.25" customHeight="1">
      <c r="C617" s="67"/>
      <c r="H617" s="78"/>
      <c r="J617" s="67"/>
    </row>
    <row r="618" ht="14.25" customHeight="1">
      <c r="C618" s="67"/>
      <c r="H618" s="78"/>
      <c r="J618" s="67"/>
    </row>
    <row r="619" ht="14.25" customHeight="1">
      <c r="C619" s="67"/>
      <c r="H619" s="78"/>
      <c r="J619" s="67"/>
    </row>
    <row r="620" ht="14.25" customHeight="1">
      <c r="C620" s="67"/>
      <c r="H620" s="78"/>
      <c r="J620" s="67"/>
    </row>
    <row r="621" ht="14.25" customHeight="1">
      <c r="C621" s="67"/>
      <c r="H621" s="78"/>
      <c r="J621" s="67"/>
    </row>
    <row r="622" ht="14.25" customHeight="1">
      <c r="C622" s="67"/>
      <c r="H622" s="78"/>
      <c r="J622" s="67"/>
    </row>
    <row r="623" ht="14.25" customHeight="1">
      <c r="C623" s="67"/>
      <c r="H623" s="78"/>
      <c r="J623" s="67"/>
    </row>
    <row r="624" ht="14.25" customHeight="1">
      <c r="C624" s="67"/>
      <c r="H624" s="78"/>
      <c r="J624" s="67"/>
    </row>
    <row r="625" ht="14.25" customHeight="1">
      <c r="C625" s="67"/>
      <c r="H625" s="78"/>
      <c r="J625" s="67"/>
    </row>
    <row r="626" ht="14.25" customHeight="1">
      <c r="C626" s="67"/>
      <c r="H626" s="78"/>
      <c r="J626" s="67"/>
    </row>
    <row r="627" ht="14.25" customHeight="1">
      <c r="C627" s="67"/>
      <c r="H627" s="78"/>
      <c r="J627" s="67"/>
    </row>
    <row r="628" ht="14.25" customHeight="1">
      <c r="C628" s="67"/>
      <c r="H628" s="78"/>
      <c r="J628" s="67"/>
    </row>
    <row r="629" ht="14.25" customHeight="1">
      <c r="C629" s="67"/>
      <c r="H629" s="78"/>
      <c r="J629" s="67"/>
    </row>
    <row r="630" ht="14.25" customHeight="1">
      <c r="C630" s="67"/>
      <c r="H630" s="78"/>
      <c r="J630" s="67"/>
    </row>
    <row r="631" ht="14.25" customHeight="1">
      <c r="C631" s="67"/>
      <c r="H631" s="78"/>
      <c r="J631" s="67"/>
    </row>
    <row r="632" ht="14.25" customHeight="1">
      <c r="C632" s="67"/>
      <c r="H632" s="78"/>
      <c r="J632" s="67"/>
    </row>
    <row r="633" ht="14.25" customHeight="1">
      <c r="C633" s="67"/>
      <c r="H633" s="78"/>
      <c r="J633" s="67"/>
    </row>
    <row r="634" ht="14.25" customHeight="1">
      <c r="C634" s="67"/>
      <c r="H634" s="78"/>
      <c r="J634" s="67"/>
    </row>
    <row r="635" ht="14.25" customHeight="1">
      <c r="C635" s="67"/>
      <c r="H635" s="78"/>
      <c r="J635" s="67"/>
    </row>
    <row r="636" ht="14.25" customHeight="1">
      <c r="C636" s="67"/>
      <c r="H636" s="78"/>
      <c r="J636" s="67"/>
    </row>
    <row r="637" ht="14.25" customHeight="1">
      <c r="C637" s="67"/>
      <c r="H637" s="78"/>
      <c r="J637" s="67"/>
    </row>
    <row r="638" ht="14.25" customHeight="1">
      <c r="C638" s="67"/>
      <c r="H638" s="78"/>
      <c r="J638" s="67"/>
    </row>
    <row r="639" ht="14.25" customHeight="1">
      <c r="C639" s="67"/>
      <c r="H639" s="78"/>
      <c r="J639" s="67"/>
    </row>
    <row r="640" ht="14.25" customHeight="1">
      <c r="C640" s="67"/>
      <c r="H640" s="78"/>
      <c r="J640" s="67"/>
    </row>
    <row r="641" ht="14.25" customHeight="1">
      <c r="C641" s="67"/>
      <c r="H641" s="78"/>
      <c r="J641" s="67"/>
    </row>
    <row r="642" ht="14.25" customHeight="1">
      <c r="C642" s="67"/>
      <c r="H642" s="78"/>
      <c r="J642" s="67"/>
    </row>
    <row r="643" ht="14.25" customHeight="1">
      <c r="C643" s="67"/>
      <c r="H643" s="78"/>
      <c r="J643" s="67"/>
    </row>
    <row r="644" ht="14.25" customHeight="1">
      <c r="C644" s="67"/>
      <c r="H644" s="78"/>
      <c r="J644" s="67"/>
    </row>
    <row r="645" ht="14.25" customHeight="1">
      <c r="C645" s="67"/>
      <c r="H645" s="78"/>
      <c r="J645" s="67"/>
    </row>
    <row r="646" ht="14.25" customHeight="1">
      <c r="C646" s="67"/>
      <c r="H646" s="78"/>
      <c r="J646" s="67"/>
    </row>
    <row r="647" ht="14.25" customHeight="1">
      <c r="C647" s="67"/>
      <c r="H647" s="78"/>
      <c r="J647" s="67"/>
    </row>
    <row r="648" ht="14.25" customHeight="1">
      <c r="C648" s="67"/>
      <c r="H648" s="78"/>
      <c r="J648" s="67"/>
    </row>
    <row r="649" ht="14.25" customHeight="1">
      <c r="C649" s="67"/>
      <c r="H649" s="78"/>
      <c r="J649" s="67"/>
    </row>
    <row r="650" ht="14.25" customHeight="1">
      <c r="C650" s="67"/>
      <c r="H650" s="78"/>
      <c r="J650" s="67"/>
    </row>
    <row r="651" ht="14.25" customHeight="1">
      <c r="C651" s="67"/>
      <c r="H651" s="78"/>
      <c r="J651" s="67"/>
    </row>
    <row r="652" ht="14.25" customHeight="1">
      <c r="C652" s="67"/>
      <c r="H652" s="78"/>
      <c r="J652" s="67"/>
    </row>
    <row r="653" ht="14.25" customHeight="1">
      <c r="C653" s="67"/>
      <c r="H653" s="78"/>
      <c r="J653" s="67"/>
    </row>
    <row r="654" ht="14.25" customHeight="1">
      <c r="C654" s="67"/>
      <c r="H654" s="78"/>
      <c r="J654" s="67"/>
    </row>
    <row r="655" ht="14.25" customHeight="1">
      <c r="C655" s="67"/>
      <c r="H655" s="78"/>
      <c r="J655" s="67"/>
    </row>
    <row r="656" ht="14.25" customHeight="1">
      <c r="C656" s="67"/>
      <c r="H656" s="78"/>
      <c r="J656" s="67"/>
    </row>
    <row r="657" ht="14.25" customHeight="1">
      <c r="C657" s="67"/>
      <c r="H657" s="78"/>
      <c r="J657" s="67"/>
    </row>
    <row r="658" ht="14.25" customHeight="1">
      <c r="C658" s="67"/>
      <c r="H658" s="78"/>
      <c r="J658" s="67"/>
    </row>
    <row r="659" ht="14.25" customHeight="1">
      <c r="C659" s="67"/>
      <c r="H659" s="78"/>
      <c r="J659" s="67"/>
    </row>
    <row r="660" ht="14.25" customHeight="1">
      <c r="C660" s="67"/>
      <c r="H660" s="78"/>
      <c r="J660" s="67"/>
    </row>
    <row r="661" ht="14.25" customHeight="1">
      <c r="C661" s="67"/>
      <c r="H661" s="78"/>
      <c r="J661" s="67"/>
    </row>
    <row r="662" ht="14.25" customHeight="1">
      <c r="C662" s="67"/>
      <c r="H662" s="78"/>
      <c r="J662" s="67"/>
    </row>
    <row r="663" ht="14.25" customHeight="1">
      <c r="C663" s="67"/>
      <c r="H663" s="78"/>
      <c r="J663" s="67"/>
    </row>
    <row r="664" ht="14.25" customHeight="1">
      <c r="C664" s="67"/>
      <c r="H664" s="78"/>
      <c r="J664" s="67"/>
    </row>
    <row r="665" ht="14.25" customHeight="1">
      <c r="C665" s="67"/>
      <c r="H665" s="78"/>
      <c r="J665" s="67"/>
    </row>
    <row r="666" ht="14.25" customHeight="1">
      <c r="C666" s="67"/>
      <c r="H666" s="78"/>
      <c r="J666" s="67"/>
    </row>
    <row r="667" ht="14.25" customHeight="1">
      <c r="C667" s="67"/>
      <c r="H667" s="78"/>
      <c r="J667" s="67"/>
    </row>
    <row r="668" ht="14.25" customHeight="1">
      <c r="C668" s="67"/>
      <c r="H668" s="78"/>
      <c r="J668" s="67"/>
    </row>
    <row r="669" ht="14.25" customHeight="1">
      <c r="C669" s="67"/>
      <c r="H669" s="78"/>
      <c r="J669" s="67"/>
    </row>
    <row r="670" ht="14.25" customHeight="1">
      <c r="C670" s="67"/>
      <c r="H670" s="78"/>
      <c r="J670" s="67"/>
    </row>
    <row r="671" ht="14.25" customHeight="1">
      <c r="C671" s="67"/>
      <c r="H671" s="78"/>
      <c r="J671" s="67"/>
    </row>
    <row r="672" ht="14.25" customHeight="1">
      <c r="C672" s="67"/>
      <c r="H672" s="78"/>
      <c r="J672" s="67"/>
    </row>
    <row r="673" ht="14.25" customHeight="1">
      <c r="C673" s="67"/>
      <c r="H673" s="78"/>
      <c r="J673" s="67"/>
    </row>
    <row r="674" ht="14.25" customHeight="1">
      <c r="C674" s="67"/>
      <c r="H674" s="78"/>
      <c r="J674" s="67"/>
    </row>
    <row r="675" ht="14.25" customHeight="1">
      <c r="C675" s="67"/>
      <c r="H675" s="78"/>
      <c r="J675" s="67"/>
    </row>
    <row r="676" ht="14.25" customHeight="1">
      <c r="C676" s="67"/>
      <c r="H676" s="78"/>
      <c r="J676" s="67"/>
    </row>
    <row r="677" ht="14.25" customHeight="1">
      <c r="C677" s="67"/>
      <c r="H677" s="78"/>
      <c r="J677" s="67"/>
    </row>
    <row r="678" ht="14.25" customHeight="1">
      <c r="C678" s="67"/>
      <c r="H678" s="78"/>
      <c r="J678" s="67"/>
    </row>
    <row r="679" ht="14.25" customHeight="1">
      <c r="C679" s="67"/>
      <c r="H679" s="78"/>
      <c r="J679" s="67"/>
    </row>
    <row r="680" ht="14.25" customHeight="1">
      <c r="C680" s="67"/>
      <c r="H680" s="78"/>
      <c r="J680" s="67"/>
    </row>
    <row r="681" ht="14.25" customHeight="1">
      <c r="C681" s="67"/>
      <c r="H681" s="78"/>
      <c r="J681" s="67"/>
    </row>
    <row r="682" ht="14.25" customHeight="1">
      <c r="C682" s="67"/>
      <c r="H682" s="78"/>
      <c r="J682" s="67"/>
    </row>
    <row r="683" ht="14.25" customHeight="1">
      <c r="C683" s="67"/>
      <c r="H683" s="78"/>
      <c r="J683" s="67"/>
    </row>
    <row r="684" ht="14.25" customHeight="1">
      <c r="C684" s="67"/>
      <c r="H684" s="78"/>
      <c r="J684" s="67"/>
    </row>
    <row r="685" ht="14.25" customHeight="1">
      <c r="C685" s="67"/>
      <c r="H685" s="78"/>
      <c r="J685" s="67"/>
    </row>
    <row r="686" ht="14.25" customHeight="1">
      <c r="C686" s="67"/>
      <c r="H686" s="78"/>
      <c r="J686" s="67"/>
    </row>
    <row r="687" ht="14.25" customHeight="1">
      <c r="C687" s="67"/>
      <c r="H687" s="78"/>
      <c r="J687" s="67"/>
    </row>
    <row r="688" ht="14.25" customHeight="1">
      <c r="C688" s="67"/>
      <c r="H688" s="78"/>
      <c r="J688" s="67"/>
    </row>
    <row r="689" ht="14.25" customHeight="1">
      <c r="C689" s="67"/>
      <c r="H689" s="78"/>
      <c r="J689" s="67"/>
    </row>
    <row r="690" ht="14.25" customHeight="1">
      <c r="C690" s="67"/>
      <c r="H690" s="78"/>
      <c r="J690" s="67"/>
    </row>
    <row r="691" ht="14.25" customHeight="1">
      <c r="C691" s="67"/>
      <c r="H691" s="78"/>
      <c r="J691" s="67"/>
    </row>
    <row r="692" ht="14.25" customHeight="1">
      <c r="C692" s="67"/>
      <c r="H692" s="78"/>
      <c r="J692" s="67"/>
    </row>
    <row r="693" ht="14.25" customHeight="1">
      <c r="C693" s="67"/>
      <c r="H693" s="78"/>
      <c r="J693" s="67"/>
    </row>
    <row r="694" ht="14.25" customHeight="1">
      <c r="C694" s="67"/>
      <c r="H694" s="78"/>
      <c r="J694" s="67"/>
    </row>
    <row r="695" ht="14.25" customHeight="1">
      <c r="C695" s="67"/>
      <c r="H695" s="78"/>
      <c r="J695" s="67"/>
    </row>
    <row r="696" ht="14.25" customHeight="1">
      <c r="C696" s="67"/>
      <c r="H696" s="78"/>
      <c r="J696" s="67"/>
    </row>
    <row r="697" ht="14.25" customHeight="1">
      <c r="C697" s="67"/>
      <c r="H697" s="78"/>
      <c r="J697" s="67"/>
    </row>
    <row r="698" ht="14.25" customHeight="1">
      <c r="C698" s="67"/>
      <c r="H698" s="78"/>
      <c r="J698" s="67"/>
    </row>
    <row r="699" ht="14.25" customHeight="1">
      <c r="C699" s="67"/>
      <c r="H699" s="78"/>
      <c r="J699" s="67"/>
    </row>
    <row r="700" ht="14.25" customHeight="1">
      <c r="C700" s="67"/>
      <c r="H700" s="78"/>
      <c r="J700" s="67"/>
    </row>
    <row r="701" ht="14.25" customHeight="1">
      <c r="C701" s="67"/>
      <c r="H701" s="78"/>
      <c r="J701" s="67"/>
    </row>
    <row r="702" ht="14.25" customHeight="1">
      <c r="C702" s="67"/>
      <c r="H702" s="78"/>
      <c r="J702" s="67"/>
    </row>
    <row r="703" ht="14.25" customHeight="1">
      <c r="C703" s="67"/>
      <c r="H703" s="78"/>
      <c r="J703" s="67"/>
    </row>
    <row r="704" ht="14.25" customHeight="1">
      <c r="C704" s="67"/>
      <c r="H704" s="78"/>
      <c r="J704" s="67"/>
    </row>
    <row r="705" ht="14.25" customHeight="1">
      <c r="C705" s="67"/>
      <c r="H705" s="78"/>
      <c r="J705" s="67"/>
    </row>
    <row r="706" ht="14.25" customHeight="1">
      <c r="C706" s="67"/>
      <c r="H706" s="78"/>
      <c r="J706" s="67"/>
    </row>
    <row r="707" ht="14.25" customHeight="1">
      <c r="C707" s="67"/>
      <c r="H707" s="78"/>
      <c r="J707" s="67"/>
    </row>
    <row r="708" ht="14.25" customHeight="1">
      <c r="C708" s="67"/>
      <c r="H708" s="78"/>
      <c r="J708" s="67"/>
    </row>
    <row r="709" ht="14.25" customHeight="1">
      <c r="C709" s="67"/>
      <c r="H709" s="78"/>
      <c r="J709" s="67"/>
    </row>
    <row r="710" ht="14.25" customHeight="1">
      <c r="C710" s="67"/>
      <c r="H710" s="78"/>
      <c r="J710" s="67"/>
    </row>
    <row r="711" ht="14.25" customHeight="1">
      <c r="C711" s="67"/>
      <c r="H711" s="78"/>
      <c r="J711" s="67"/>
    </row>
    <row r="712" ht="14.25" customHeight="1">
      <c r="C712" s="67"/>
      <c r="H712" s="78"/>
      <c r="J712" s="67"/>
    </row>
    <row r="713" ht="14.25" customHeight="1">
      <c r="C713" s="67"/>
      <c r="H713" s="78"/>
      <c r="J713" s="67"/>
    </row>
    <row r="714" ht="14.25" customHeight="1">
      <c r="C714" s="67"/>
      <c r="H714" s="78"/>
      <c r="J714" s="67"/>
    </row>
    <row r="715" ht="14.25" customHeight="1">
      <c r="C715" s="67"/>
      <c r="H715" s="78"/>
      <c r="J715" s="67"/>
    </row>
    <row r="716" ht="14.25" customHeight="1">
      <c r="C716" s="67"/>
      <c r="H716" s="78"/>
      <c r="J716" s="67"/>
    </row>
    <row r="717" ht="14.25" customHeight="1">
      <c r="C717" s="67"/>
      <c r="H717" s="78"/>
      <c r="J717" s="67"/>
    </row>
    <row r="718" ht="14.25" customHeight="1">
      <c r="C718" s="67"/>
      <c r="H718" s="78"/>
      <c r="J718" s="67"/>
    </row>
    <row r="719" ht="14.25" customHeight="1">
      <c r="C719" s="67"/>
      <c r="H719" s="78"/>
      <c r="J719" s="67"/>
    </row>
    <row r="720" ht="14.25" customHeight="1">
      <c r="C720" s="67"/>
      <c r="H720" s="78"/>
      <c r="J720" s="67"/>
    </row>
    <row r="721" ht="14.25" customHeight="1">
      <c r="C721" s="67"/>
      <c r="H721" s="78"/>
      <c r="J721" s="67"/>
    </row>
    <row r="722" ht="14.25" customHeight="1">
      <c r="C722" s="67"/>
      <c r="H722" s="78"/>
      <c r="J722" s="67"/>
    </row>
    <row r="723" ht="14.25" customHeight="1">
      <c r="C723" s="67"/>
      <c r="H723" s="78"/>
      <c r="J723" s="67"/>
    </row>
    <row r="724" ht="14.25" customHeight="1">
      <c r="C724" s="67"/>
      <c r="H724" s="78"/>
      <c r="J724" s="67"/>
    </row>
    <row r="725" ht="14.25" customHeight="1">
      <c r="C725" s="67"/>
      <c r="H725" s="78"/>
      <c r="J725" s="67"/>
    </row>
    <row r="726" ht="14.25" customHeight="1">
      <c r="C726" s="67"/>
      <c r="H726" s="78"/>
      <c r="J726" s="67"/>
    </row>
    <row r="727" ht="14.25" customHeight="1">
      <c r="C727" s="67"/>
      <c r="H727" s="78"/>
      <c r="J727" s="67"/>
    </row>
    <row r="728" ht="14.25" customHeight="1">
      <c r="C728" s="67"/>
      <c r="H728" s="78"/>
      <c r="J728" s="67"/>
    </row>
    <row r="729" ht="14.25" customHeight="1">
      <c r="C729" s="67"/>
      <c r="H729" s="78"/>
      <c r="J729" s="67"/>
    </row>
    <row r="730" ht="14.25" customHeight="1">
      <c r="C730" s="67"/>
      <c r="H730" s="78"/>
      <c r="J730" s="67"/>
    </row>
    <row r="731" ht="14.25" customHeight="1">
      <c r="C731" s="67"/>
      <c r="H731" s="78"/>
      <c r="J731" s="67"/>
    </row>
    <row r="732" ht="14.25" customHeight="1">
      <c r="C732" s="67"/>
      <c r="H732" s="78"/>
      <c r="J732" s="67"/>
    </row>
    <row r="733" ht="14.25" customHeight="1">
      <c r="C733" s="67"/>
      <c r="H733" s="78"/>
      <c r="J733" s="67"/>
    </row>
    <row r="734" ht="14.25" customHeight="1">
      <c r="C734" s="67"/>
      <c r="H734" s="78"/>
      <c r="J734" s="67"/>
    </row>
    <row r="735" ht="14.25" customHeight="1">
      <c r="C735" s="67"/>
      <c r="H735" s="78"/>
      <c r="J735" s="67"/>
    </row>
    <row r="736" ht="14.25" customHeight="1">
      <c r="C736" s="67"/>
      <c r="H736" s="78"/>
      <c r="J736" s="67"/>
    </row>
    <row r="737" ht="14.25" customHeight="1">
      <c r="C737" s="67"/>
      <c r="H737" s="78"/>
      <c r="J737" s="67"/>
    </row>
    <row r="738" ht="14.25" customHeight="1">
      <c r="C738" s="67"/>
      <c r="H738" s="78"/>
      <c r="J738" s="67"/>
    </row>
    <row r="739" ht="14.25" customHeight="1">
      <c r="C739" s="67"/>
      <c r="H739" s="78"/>
      <c r="J739" s="67"/>
    </row>
    <row r="740" ht="14.25" customHeight="1">
      <c r="C740" s="67"/>
      <c r="H740" s="78"/>
      <c r="J740" s="67"/>
    </row>
    <row r="741" ht="14.25" customHeight="1">
      <c r="C741" s="67"/>
      <c r="H741" s="78"/>
      <c r="J741" s="67"/>
    </row>
    <row r="742" ht="14.25" customHeight="1">
      <c r="C742" s="67"/>
      <c r="H742" s="78"/>
      <c r="J742" s="67"/>
    </row>
    <row r="743" ht="14.25" customHeight="1">
      <c r="C743" s="67"/>
      <c r="H743" s="78"/>
      <c r="J743" s="67"/>
    </row>
    <row r="744" ht="14.25" customHeight="1">
      <c r="C744" s="67"/>
      <c r="H744" s="78"/>
      <c r="J744" s="67"/>
    </row>
    <row r="745" ht="14.25" customHeight="1">
      <c r="C745" s="67"/>
      <c r="H745" s="78"/>
      <c r="J745" s="67"/>
    </row>
    <row r="746" ht="14.25" customHeight="1">
      <c r="C746" s="67"/>
      <c r="H746" s="78"/>
      <c r="J746" s="67"/>
    </row>
    <row r="747" ht="14.25" customHeight="1">
      <c r="C747" s="67"/>
      <c r="H747" s="78"/>
      <c r="J747" s="67"/>
    </row>
    <row r="748" ht="14.25" customHeight="1">
      <c r="C748" s="67"/>
      <c r="H748" s="78"/>
      <c r="J748" s="67"/>
    </row>
    <row r="749" ht="14.25" customHeight="1">
      <c r="C749" s="67"/>
      <c r="H749" s="78"/>
      <c r="J749" s="67"/>
    </row>
    <row r="750" ht="14.25" customHeight="1">
      <c r="C750" s="67"/>
      <c r="H750" s="78"/>
      <c r="J750" s="67"/>
    </row>
    <row r="751" ht="14.25" customHeight="1">
      <c r="C751" s="67"/>
      <c r="H751" s="78"/>
      <c r="J751" s="67"/>
    </row>
    <row r="752" ht="14.25" customHeight="1">
      <c r="C752" s="67"/>
      <c r="H752" s="78"/>
      <c r="J752" s="67"/>
    </row>
    <row r="753" ht="14.25" customHeight="1">
      <c r="C753" s="67"/>
      <c r="H753" s="78"/>
      <c r="J753" s="67"/>
    </row>
    <row r="754" ht="14.25" customHeight="1">
      <c r="C754" s="67"/>
      <c r="H754" s="78"/>
      <c r="J754" s="67"/>
    </row>
    <row r="755" ht="14.25" customHeight="1">
      <c r="C755" s="67"/>
      <c r="H755" s="78"/>
      <c r="J755" s="67"/>
    </row>
    <row r="756" ht="14.25" customHeight="1">
      <c r="C756" s="67"/>
      <c r="H756" s="78"/>
      <c r="J756" s="67"/>
    </row>
    <row r="757" ht="14.25" customHeight="1">
      <c r="C757" s="67"/>
      <c r="H757" s="78"/>
      <c r="J757" s="67"/>
    </row>
    <row r="758" ht="14.25" customHeight="1">
      <c r="C758" s="67"/>
      <c r="H758" s="78"/>
      <c r="J758" s="67"/>
    </row>
    <row r="759" ht="14.25" customHeight="1">
      <c r="C759" s="67"/>
      <c r="H759" s="78"/>
      <c r="J759" s="67"/>
    </row>
    <row r="760" ht="14.25" customHeight="1">
      <c r="C760" s="67"/>
      <c r="H760" s="78"/>
      <c r="J760" s="67"/>
    </row>
    <row r="761" ht="14.25" customHeight="1">
      <c r="C761" s="67"/>
      <c r="H761" s="78"/>
      <c r="J761" s="67"/>
    </row>
    <row r="762" ht="14.25" customHeight="1">
      <c r="C762" s="67"/>
      <c r="H762" s="78"/>
      <c r="J762" s="67"/>
    </row>
    <row r="763" ht="14.25" customHeight="1">
      <c r="C763" s="67"/>
      <c r="H763" s="78"/>
      <c r="J763" s="67"/>
    </row>
    <row r="764" ht="14.25" customHeight="1">
      <c r="C764" s="67"/>
      <c r="H764" s="78"/>
      <c r="J764" s="67"/>
    </row>
    <row r="765" ht="14.25" customHeight="1">
      <c r="C765" s="67"/>
      <c r="H765" s="78"/>
      <c r="J765" s="67"/>
    </row>
    <row r="766" ht="14.25" customHeight="1">
      <c r="C766" s="67"/>
      <c r="H766" s="78"/>
      <c r="J766" s="67"/>
    </row>
    <row r="767" ht="14.25" customHeight="1">
      <c r="C767" s="67"/>
      <c r="H767" s="78"/>
      <c r="J767" s="67"/>
    </row>
    <row r="768" ht="14.25" customHeight="1">
      <c r="C768" s="67"/>
      <c r="H768" s="78"/>
      <c r="J768" s="67"/>
    </row>
    <row r="769" ht="14.25" customHeight="1">
      <c r="C769" s="67"/>
      <c r="H769" s="78"/>
      <c r="J769" s="67"/>
    </row>
    <row r="770" ht="14.25" customHeight="1">
      <c r="C770" s="67"/>
      <c r="H770" s="78"/>
      <c r="J770" s="67"/>
    </row>
    <row r="771" ht="14.25" customHeight="1">
      <c r="C771" s="67"/>
      <c r="H771" s="78"/>
      <c r="J771" s="67"/>
    </row>
    <row r="772" ht="14.25" customHeight="1">
      <c r="C772" s="67"/>
      <c r="H772" s="78"/>
      <c r="J772" s="67"/>
    </row>
    <row r="773" ht="14.25" customHeight="1">
      <c r="C773" s="67"/>
      <c r="H773" s="78"/>
      <c r="J773" s="67"/>
    </row>
    <row r="774" ht="14.25" customHeight="1">
      <c r="C774" s="67"/>
      <c r="H774" s="78"/>
      <c r="J774" s="67"/>
    </row>
    <row r="775" ht="14.25" customHeight="1">
      <c r="C775" s="67"/>
      <c r="H775" s="78"/>
      <c r="J775" s="67"/>
    </row>
    <row r="776" ht="14.25" customHeight="1">
      <c r="C776" s="67"/>
      <c r="H776" s="78"/>
      <c r="J776" s="67"/>
    </row>
    <row r="777" ht="14.25" customHeight="1">
      <c r="C777" s="67"/>
      <c r="H777" s="78"/>
      <c r="J777" s="67"/>
    </row>
    <row r="778" ht="14.25" customHeight="1">
      <c r="C778" s="67"/>
      <c r="H778" s="78"/>
      <c r="J778" s="67"/>
    </row>
    <row r="779" ht="14.25" customHeight="1">
      <c r="C779" s="67"/>
      <c r="H779" s="78"/>
      <c r="J779" s="67"/>
    </row>
    <row r="780" ht="14.25" customHeight="1">
      <c r="C780" s="67"/>
      <c r="H780" s="78"/>
      <c r="J780" s="67"/>
    </row>
    <row r="781" ht="14.25" customHeight="1">
      <c r="C781" s="67"/>
      <c r="H781" s="78"/>
      <c r="J781" s="67"/>
    </row>
    <row r="782" ht="14.25" customHeight="1">
      <c r="C782" s="67"/>
      <c r="H782" s="78"/>
      <c r="J782" s="67"/>
    </row>
    <row r="783" ht="14.25" customHeight="1">
      <c r="C783" s="67"/>
      <c r="H783" s="78"/>
      <c r="J783" s="67"/>
    </row>
    <row r="784" ht="14.25" customHeight="1">
      <c r="C784" s="67"/>
      <c r="H784" s="78"/>
      <c r="J784" s="67"/>
    </row>
    <row r="785" ht="14.25" customHeight="1">
      <c r="C785" s="67"/>
      <c r="H785" s="78"/>
      <c r="J785" s="67"/>
    </row>
    <row r="786" ht="14.25" customHeight="1">
      <c r="C786" s="67"/>
      <c r="H786" s="78"/>
      <c r="J786" s="67"/>
    </row>
    <row r="787" ht="14.25" customHeight="1">
      <c r="C787" s="67"/>
      <c r="H787" s="78"/>
      <c r="J787" s="67"/>
    </row>
    <row r="788" ht="14.25" customHeight="1">
      <c r="C788" s="67"/>
      <c r="H788" s="78"/>
      <c r="J788" s="67"/>
    </row>
    <row r="789" ht="14.25" customHeight="1">
      <c r="C789" s="67"/>
      <c r="H789" s="78"/>
      <c r="J789" s="67"/>
    </row>
    <row r="790" ht="14.25" customHeight="1">
      <c r="C790" s="67"/>
      <c r="H790" s="78"/>
      <c r="J790" s="67"/>
    </row>
    <row r="791" ht="14.25" customHeight="1">
      <c r="C791" s="67"/>
      <c r="H791" s="78"/>
      <c r="J791" s="67"/>
    </row>
    <row r="792" ht="14.25" customHeight="1">
      <c r="C792" s="67"/>
      <c r="H792" s="78"/>
      <c r="J792" s="67"/>
    </row>
    <row r="793" ht="14.25" customHeight="1">
      <c r="C793" s="67"/>
      <c r="H793" s="78"/>
      <c r="J793" s="67"/>
    </row>
    <row r="794" ht="14.25" customHeight="1">
      <c r="C794" s="67"/>
      <c r="H794" s="78"/>
      <c r="J794" s="67"/>
    </row>
    <row r="795" ht="14.25" customHeight="1">
      <c r="C795" s="67"/>
      <c r="H795" s="78"/>
      <c r="J795" s="67"/>
    </row>
    <row r="796" ht="14.25" customHeight="1">
      <c r="C796" s="67"/>
      <c r="H796" s="78"/>
      <c r="J796" s="67"/>
    </row>
    <row r="797" ht="14.25" customHeight="1">
      <c r="C797" s="67"/>
      <c r="H797" s="78"/>
      <c r="J797" s="67"/>
    </row>
    <row r="798" ht="14.25" customHeight="1">
      <c r="C798" s="67"/>
      <c r="H798" s="78"/>
      <c r="J798" s="67"/>
    </row>
    <row r="799" ht="14.25" customHeight="1">
      <c r="C799" s="67"/>
      <c r="H799" s="78"/>
      <c r="J799" s="67"/>
    </row>
    <row r="800" ht="14.25" customHeight="1">
      <c r="C800" s="67"/>
      <c r="H800" s="78"/>
      <c r="J800" s="67"/>
    </row>
    <row r="801" ht="14.25" customHeight="1">
      <c r="C801" s="67"/>
      <c r="H801" s="78"/>
      <c r="J801" s="67"/>
    </row>
    <row r="802" ht="14.25" customHeight="1">
      <c r="C802" s="67"/>
      <c r="H802" s="78"/>
      <c r="J802" s="67"/>
    </row>
    <row r="803" ht="14.25" customHeight="1">
      <c r="C803" s="67"/>
      <c r="H803" s="78"/>
      <c r="J803" s="67"/>
    </row>
    <row r="804" ht="14.25" customHeight="1">
      <c r="C804" s="67"/>
      <c r="H804" s="78"/>
      <c r="J804" s="67"/>
    </row>
    <row r="805" ht="14.25" customHeight="1">
      <c r="C805" s="67"/>
      <c r="H805" s="78"/>
      <c r="J805" s="67"/>
    </row>
    <row r="806" ht="14.25" customHeight="1">
      <c r="C806" s="67"/>
      <c r="H806" s="78"/>
      <c r="J806" s="67"/>
    </row>
    <row r="807" ht="14.25" customHeight="1">
      <c r="C807" s="67"/>
      <c r="H807" s="78"/>
      <c r="J807" s="67"/>
    </row>
    <row r="808" ht="14.25" customHeight="1">
      <c r="C808" s="67"/>
      <c r="H808" s="78"/>
      <c r="J808" s="67"/>
    </row>
    <row r="809" ht="14.25" customHeight="1">
      <c r="C809" s="67"/>
      <c r="H809" s="78"/>
      <c r="J809" s="67"/>
    </row>
    <row r="810" ht="14.25" customHeight="1">
      <c r="C810" s="67"/>
      <c r="H810" s="78"/>
      <c r="J810" s="67"/>
    </row>
    <row r="811" ht="14.25" customHeight="1">
      <c r="C811" s="67"/>
      <c r="H811" s="78"/>
      <c r="J811" s="67"/>
    </row>
    <row r="812" ht="14.25" customHeight="1">
      <c r="C812" s="67"/>
      <c r="H812" s="78"/>
      <c r="J812" s="67"/>
    </row>
    <row r="813" ht="14.25" customHeight="1">
      <c r="C813" s="67"/>
      <c r="H813" s="78"/>
      <c r="J813" s="67"/>
    </row>
    <row r="814" ht="14.25" customHeight="1">
      <c r="C814" s="67"/>
      <c r="H814" s="78"/>
      <c r="J814" s="67"/>
    </row>
    <row r="815" ht="14.25" customHeight="1">
      <c r="C815" s="67"/>
      <c r="H815" s="78"/>
      <c r="J815" s="67"/>
    </row>
    <row r="816" ht="14.25" customHeight="1">
      <c r="C816" s="67"/>
      <c r="H816" s="78"/>
      <c r="J816" s="67"/>
    </row>
    <row r="817" ht="14.25" customHeight="1">
      <c r="C817" s="67"/>
      <c r="H817" s="78"/>
      <c r="J817" s="67"/>
    </row>
    <row r="818" ht="14.25" customHeight="1">
      <c r="C818" s="67"/>
      <c r="H818" s="78"/>
      <c r="J818" s="67"/>
    </row>
    <row r="819" ht="14.25" customHeight="1">
      <c r="C819" s="67"/>
      <c r="H819" s="78"/>
      <c r="J819" s="67"/>
    </row>
    <row r="820" ht="14.25" customHeight="1">
      <c r="C820" s="67"/>
      <c r="H820" s="78"/>
      <c r="J820" s="67"/>
    </row>
    <row r="821" ht="14.25" customHeight="1">
      <c r="C821" s="67"/>
      <c r="H821" s="78"/>
      <c r="J821" s="67"/>
    </row>
    <row r="822" ht="14.25" customHeight="1">
      <c r="C822" s="67"/>
      <c r="H822" s="78"/>
      <c r="J822" s="67"/>
    </row>
    <row r="823" ht="14.25" customHeight="1">
      <c r="C823" s="67"/>
      <c r="H823" s="78"/>
      <c r="J823" s="67"/>
    </row>
    <row r="824" ht="14.25" customHeight="1">
      <c r="C824" s="67"/>
      <c r="H824" s="78"/>
      <c r="J824" s="67"/>
    </row>
    <row r="825" ht="14.25" customHeight="1">
      <c r="C825" s="67"/>
      <c r="H825" s="78"/>
      <c r="J825" s="67"/>
    </row>
    <row r="826" ht="14.25" customHeight="1">
      <c r="C826" s="67"/>
      <c r="H826" s="78"/>
      <c r="J826" s="67"/>
    </row>
    <row r="827" ht="14.25" customHeight="1">
      <c r="C827" s="67"/>
      <c r="H827" s="78"/>
      <c r="J827" s="67"/>
    </row>
    <row r="828" ht="14.25" customHeight="1">
      <c r="C828" s="67"/>
      <c r="H828" s="78"/>
      <c r="J828" s="67"/>
    </row>
    <row r="829" ht="14.25" customHeight="1">
      <c r="C829" s="67"/>
      <c r="H829" s="78"/>
      <c r="J829" s="67"/>
    </row>
    <row r="830" ht="14.25" customHeight="1">
      <c r="C830" s="67"/>
      <c r="H830" s="78"/>
      <c r="J830" s="67"/>
    </row>
    <row r="831" ht="14.25" customHeight="1">
      <c r="C831" s="67"/>
      <c r="H831" s="78"/>
      <c r="J831" s="67"/>
    </row>
    <row r="832" ht="14.25" customHeight="1">
      <c r="C832" s="67"/>
      <c r="H832" s="78"/>
      <c r="J832" s="67"/>
    </row>
    <row r="833" ht="14.25" customHeight="1">
      <c r="C833" s="67"/>
      <c r="H833" s="78"/>
      <c r="J833" s="67"/>
    </row>
    <row r="834" ht="14.25" customHeight="1">
      <c r="C834" s="67"/>
      <c r="H834" s="78"/>
      <c r="J834" s="67"/>
    </row>
    <row r="835" ht="14.25" customHeight="1">
      <c r="C835" s="67"/>
      <c r="H835" s="78"/>
      <c r="J835" s="67"/>
    </row>
    <row r="836" ht="14.25" customHeight="1">
      <c r="C836" s="67"/>
      <c r="H836" s="78"/>
      <c r="J836" s="67"/>
    </row>
    <row r="837" ht="14.25" customHeight="1">
      <c r="C837" s="67"/>
      <c r="H837" s="78"/>
      <c r="J837" s="67"/>
    </row>
    <row r="838" ht="14.25" customHeight="1">
      <c r="C838" s="67"/>
      <c r="H838" s="78"/>
      <c r="J838" s="67"/>
    </row>
    <row r="839" ht="14.25" customHeight="1">
      <c r="C839" s="67"/>
      <c r="H839" s="78"/>
      <c r="J839" s="67"/>
    </row>
    <row r="840" ht="14.25" customHeight="1">
      <c r="C840" s="67"/>
      <c r="H840" s="78"/>
      <c r="J840" s="67"/>
    </row>
    <row r="841" ht="14.25" customHeight="1">
      <c r="C841" s="67"/>
      <c r="H841" s="78"/>
      <c r="J841" s="67"/>
    </row>
    <row r="842" ht="14.25" customHeight="1">
      <c r="C842" s="67"/>
      <c r="H842" s="78"/>
      <c r="J842" s="67"/>
    </row>
    <row r="843" ht="14.25" customHeight="1">
      <c r="C843" s="67"/>
      <c r="H843" s="78"/>
      <c r="J843" s="67"/>
    </row>
    <row r="844" ht="14.25" customHeight="1">
      <c r="C844" s="67"/>
      <c r="H844" s="78"/>
      <c r="J844" s="67"/>
    </row>
    <row r="845" ht="14.25" customHeight="1">
      <c r="C845" s="67"/>
      <c r="H845" s="78"/>
      <c r="J845" s="67"/>
    </row>
    <row r="846" ht="14.25" customHeight="1">
      <c r="C846" s="67"/>
      <c r="H846" s="78"/>
      <c r="J846" s="67"/>
    </row>
    <row r="847" ht="14.25" customHeight="1">
      <c r="C847" s="67"/>
      <c r="H847" s="78"/>
      <c r="J847" s="67"/>
    </row>
    <row r="848" ht="14.25" customHeight="1">
      <c r="C848" s="67"/>
      <c r="H848" s="78"/>
      <c r="J848" s="67"/>
    </row>
    <row r="849" ht="14.25" customHeight="1">
      <c r="C849" s="67"/>
      <c r="H849" s="78"/>
      <c r="J849" s="67"/>
    </row>
    <row r="850" ht="14.25" customHeight="1">
      <c r="C850" s="67"/>
      <c r="H850" s="78"/>
      <c r="J850" s="67"/>
    </row>
    <row r="851" ht="14.25" customHeight="1">
      <c r="C851" s="67"/>
      <c r="H851" s="78"/>
      <c r="J851" s="67"/>
    </row>
    <row r="852" ht="14.25" customHeight="1">
      <c r="C852" s="67"/>
      <c r="H852" s="78"/>
      <c r="J852" s="67"/>
    </row>
    <row r="853" ht="14.25" customHeight="1">
      <c r="C853" s="67"/>
      <c r="H853" s="78"/>
      <c r="J853" s="67"/>
    </row>
    <row r="854" ht="14.25" customHeight="1">
      <c r="C854" s="67"/>
      <c r="H854" s="78"/>
      <c r="J854" s="67"/>
    </row>
    <row r="855" ht="14.25" customHeight="1">
      <c r="C855" s="67"/>
      <c r="H855" s="78"/>
      <c r="J855" s="67"/>
    </row>
    <row r="856" ht="14.25" customHeight="1">
      <c r="C856" s="67"/>
      <c r="H856" s="78"/>
      <c r="J856" s="67"/>
    </row>
    <row r="857" ht="14.25" customHeight="1">
      <c r="C857" s="67"/>
      <c r="H857" s="78"/>
      <c r="J857" s="67"/>
    </row>
    <row r="858" ht="14.25" customHeight="1">
      <c r="C858" s="67"/>
      <c r="H858" s="78"/>
      <c r="J858" s="67"/>
    </row>
    <row r="859" ht="14.25" customHeight="1">
      <c r="C859" s="67"/>
      <c r="H859" s="78"/>
      <c r="J859" s="67"/>
    </row>
    <row r="860" ht="14.25" customHeight="1">
      <c r="C860" s="67"/>
      <c r="H860" s="78"/>
      <c r="J860" s="67"/>
    </row>
    <row r="861" ht="14.25" customHeight="1">
      <c r="C861" s="67"/>
      <c r="H861" s="78"/>
      <c r="J861" s="67"/>
    </row>
    <row r="862" ht="14.25" customHeight="1">
      <c r="C862" s="67"/>
      <c r="H862" s="78"/>
      <c r="J862" s="67"/>
    </row>
    <row r="863" ht="14.25" customHeight="1">
      <c r="C863" s="67"/>
      <c r="H863" s="78"/>
      <c r="J863" s="67"/>
    </row>
    <row r="864" ht="14.25" customHeight="1">
      <c r="C864" s="67"/>
      <c r="H864" s="78"/>
      <c r="J864" s="67"/>
    </row>
    <row r="865" ht="14.25" customHeight="1">
      <c r="C865" s="67"/>
      <c r="H865" s="78"/>
      <c r="J865" s="67"/>
    </row>
    <row r="866" ht="14.25" customHeight="1">
      <c r="C866" s="67"/>
      <c r="H866" s="78"/>
      <c r="J866" s="67"/>
    </row>
    <row r="867" ht="14.25" customHeight="1">
      <c r="C867" s="67"/>
      <c r="H867" s="78"/>
      <c r="J867" s="67"/>
    </row>
    <row r="868" ht="14.25" customHeight="1">
      <c r="C868" s="67"/>
      <c r="H868" s="78"/>
      <c r="J868" s="67"/>
    </row>
    <row r="869" ht="14.25" customHeight="1">
      <c r="C869" s="67"/>
      <c r="H869" s="78"/>
      <c r="J869" s="67"/>
    </row>
    <row r="870" ht="14.25" customHeight="1">
      <c r="C870" s="67"/>
      <c r="H870" s="78"/>
      <c r="J870" s="67"/>
    </row>
    <row r="871" ht="14.25" customHeight="1">
      <c r="C871" s="67"/>
      <c r="H871" s="78"/>
      <c r="J871" s="67"/>
    </row>
    <row r="872" ht="14.25" customHeight="1">
      <c r="C872" s="67"/>
      <c r="H872" s="78"/>
      <c r="J872" s="67"/>
    </row>
    <row r="873" ht="14.25" customHeight="1">
      <c r="C873" s="67"/>
      <c r="H873" s="78"/>
      <c r="J873" s="67"/>
    </row>
    <row r="874" ht="14.25" customHeight="1">
      <c r="C874" s="67"/>
      <c r="H874" s="78"/>
      <c r="J874" s="67"/>
    </row>
    <row r="875" ht="14.25" customHeight="1">
      <c r="C875" s="67"/>
      <c r="H875" s="78"/>
      <c r="J875" s="67"/>
    </row>
    <row r="876" ht="14.25" customHeight="1">
      <c r="C876" s="67"/>
      <c r="H876" s="78"/>
      <c r="J876" s="67"/>
    </row>
    <row r="877" ht="14.25" customHeight="1">
      <c r="C877" s="67"/>
      <c r="H877" s="78"/>
      <c r="J877" s="67"/>
    </row>
    <row r="878" ht="14.25" customHeight="1">
      <c r="C878" s="67"/>
      <c r="H878" s="78"/>
      <c r="J878" s="67"/>
    </row>
    <row r="879" ht="14.25" customHeight="1">
      <c r="C879" s="67"/>
      <c r="H879" s="78"/>
      <c r="J879" s="67"/>
    </row>
    <row r="880" ht="14.25" customHeight="1">
      <c r="C880" s="67"/>
      <c r="H880" s="78"/>
      <c r="J880" s="67"/>
    </row>
    <row r="881" ht="14.25" customHeight="1">
      <c r="C881" s="67"/>
      <c r="H881" s="78"/>
      <c r="J881" s="67"/>
    </row>
    <row r="882" ht="14.25" customHeight="1">
      <c r="C882" s="67"/>
      <c r="H882" s="78"/>
      <c r="J882" s="67"/>
    </row>
    <row r="883" ht="14.25" customHeight="1">
      <c r="C883" s="67"/>
      <c r="H883" s="78"/>
      <c r="J883" s="67"/>
    </row>
    <row r="884" ht="14.25" customHeight="1">
      <c r="C884" s="67"/>
      <c r="H884" s="78"/>
      <c r="J884" s="67"/>
    </row>
    <row r="885" ht="14.25" customHeight="1">
      <c r="C885" s="67"/>
      <c r="H885" s="78"/>
      <c r="J885" s="67"/>
    </row>
    <row r="886" ht="14.25" customHeight="1">
      <c r="C886" s="67"/>
      <c r="H886" s="78"/>
      <c r="J886" s="67"/>
    </row>
    <row r="887" ht="14.25" customHeight="1">
      <c r="C887" s="67"/>
      <c r="H887" s="78"/>
      <c r="J887" s="67"/>
    </row>
    <row r="888" ht="14.25" customHeight="1">
      <c r="C888" s="67"/>
      <c r="H888" s="78"/>
      <c r="J888" s="67"/>
    </row>
    <row r="889" ht="14.25" customHeight="1">
      <c r="C889" s="67"/>
      <c r="H889" s="78"/>
      <c r="J889" s="67"/>
    </row>
    <row r="890" ht="14.25" customHeight="1">
      <c r="C890" s="67"/>
      <c r="H890" s="78"/>
      <c r="J890" s="67"/>
    </row>
    <row r="891" ht="14.25" customHeight="1">
      <c r="C891" s="67"/>
      <c r="H891" s="78"/>
      <c r="J891" s="67"/>
    </row>
    <row r="892" ht="14.25" customHeight="1">
      <c r="C892" s="67"/>
      <c r="H892" s="78"/>
      <c r="J892" s="67"/>
    </row>
    <row r="893" ht="14.25" customHeight="1">
      <c r="C893" s="67"/>
      <c r="H893" s="78"/>
      <c r="J893" s="67"/>
    </row>
    <row r="894" ht="14.25" customHeight="1">
      <c r="C894" s="67"/>
      <c r="H894" s="78"/>
      <c r="J894" s="67"/>
    </row>
    <row r="895" ht="14.25" customHeight="1">
      <c r="C895" s="67"/>
      <c r="H895" s="78"/>
      <c r="J895" s="67"/>
    </row>
    <row r="896" ht="14.25" customHeight="1">
      <c r="C896" s="67"/>
      <c r="H896" s="78"/>
      <c r="J896" s="67"/>
    </row>
    <row r="897" ht="14.25" customHeight="1">
      <c r="C897" s="67"/>
      <c r="H897" s="78"/>
      <c r="J897" s="67"/>
    </row>
    <row r="898" ht="14.25" customHeight="1">
      <c r="C898" s="67"/>
      <c r="H898" s="78"/>
      <c r="J898" s="67"/>
    </row>
    <row r="899" ht="14.25" customHeight="1">
      <c r="C899" s="67"/>
      <c r="H899" s="78"/>
      <c r="J899" s="67"/>
    </row>
    <row r="900" ht="14.25" customHeight="1">
      <c r="C900" s="67"/>
      <c r="H900" s="78"/>
      <c r="J900" s="67"/>
    </row>
    <row r="901" ht="14.25" customHeight="1">
      <c r="C901" s="67"/>
      <c r="H901" s="78"/>
      <c r="J901" s="67"/>
    </row>
    <row r="902" ht="14.25" customHeight="1">
      <c r="C902" s="67"/>
      <c r="H902" s="78"/>
      <c r="J902" s="67"/>
    </row>
    <row r="903" ht="14.25" customHeight="1">
      <c r="C903" s="67"/>
      <c r="H903" s="78"/>
      <c r="J903" s="67"/>
    </row>
    <row r="904" ht="14.25" customHeight="1">
      <c r="C904" s="67"/>
      <c r="H904" s="78"/>
      <c r="J904" s="67"/>
    </row>
    <row r="905" ht="14.25" customHeight="1">
      <c r="C905" s="67"/>
      <c r="H905" s="78"/>
      <c r="J905" s="67"/>
    </row>
    <row r="906" ht="14.25" customHeight="1">
      <c r="C906" s="67"/>
      <c r="H906" s="78"/>
      <c r="J906" s="67"/>
    </row>
    <row r="907" ht="14.25" customHeight="1">
      <c r="C907" s="67"/>
      <c r="H907" s="78"/>
      <c r="J907" s="67"/>
    </row>
    <row r="908" ht="14.25" customHeight="1">
      <c r="C908" s="67"/>
      <c r="H908" s="78"/>
      <c r="J908" s="67"/>
    </row>
    <row r="909" ht="14.25" customHeight="1">
      <c r="C909" s="67"/>
      <c r="H909" s="78"/>
      <c r="J909" s="67"/>
    </row>
    <row r="910" ht="14.25" customHeight="1">
      <c r="C910" s="67"/>
      <c r="H910" s="78"/>
      <c r="J910" s="67"/>
    </row>
    <row r="911" ht="14.25" customHeight="1">
      <c r="C911" s="67"/>
      <c r="H911" s="78"/>
      <c r="J911" s="67"/>
    </row>
    <row r="912" ht="14.25" customHeight="1">
      <c r="C912" s="67"/>
      <c r="H912" s="78"/>
      <c r="J912" s="67"/>
    </row>
    <row r="913" ht="14.25" customHeight="1">
      <c r="C913" s="67"/>
      <c r="H913" s="78"/>
      <c r="J913" s="67"/>
    </row>
    <row r="914" ht="14.25" customHeight="1">
      <c r="C914" s="67"/>
      <c r="H914" s="78"/>
      <c r="J914" s="67"/>
    </row>
    <row r="915" ht="14.25" customHeight="1">
      <c r="C915" s="67"/>
      <c r="H915" s="78"/>
      <c r="J915" s="67"/>
    </row>
    <row r="916" ht="14.25" customHeight="1">
      <c r="C916" s="67"/>
      <c r="H916" s="78"/>
      <c r="J916" s="67"/>
    </row>
    <row r="917" ht="14.25" customHeight="1">
      <c r="C917" s="67"/>
      <c r="H917" s="78"/>
      <c r="J917" s="67"/>
    </row>
    <row r="918" ht="14.25" customHeight="1">
      <c r="C918" s="67"/>
      <c r="H918" s="78"/>
      <c r="J918" s="67"/>
    </row>
    <row r="919" ht="14.25" customHeight="1">
      <c r="C919" s="67"/>
      <c r="H919" s="78"/>
      <c r="J919" s="67"/>
    </row>
    <row r="920" ht="14.25" customHeight="1">
      <c r="C920" s="67"/>
      <c r="H920" s="78"/>
      <c r="J920" s="67"/>
    </row>
    <row r="921" ht="14.25" customHeight="1">
      <c r="C921" s="67"/>
      <c r="H921" s="78"/>
      <c r="J921" s="67"/>
    </row>
    <row r="922" ht="14.25" customHeight="1">
      <c r="C922" s="67"/>
      <c r="H922" s="78"/>
      <c r="J922" s="67"/>
    </row>
    <row r="923" ht="14.25" customHeight="1">
      <c r="C923" s="67"/>
      <c r="H923" s="78"/>
      <c r="J923" s="67"/>
    </row>
    <row r="924" ht="14.25" customHeight="1">
      <c r="C924" s="67"/>
      <c r="H924" s="78"/>
      <c r="J924" s="67"/>
    </row>
    <row r="925" ht="14.25" customHeight="1">
      <c r="C925" s="67"/>
      <c r="H925" s="78"/>
      <c r="J925" s="67"/>
    </row>
    <row r="926" ht="14.25" customHeight="1">
      <c r="C926" s="67"/>
      <c r="H926" s="78"/>
      <c r="J926" s="67"/>
    </row>
    <row r="927" ht="14.25" customHeight="1">
      <c r="C927" s="67"/>
      <c r="H927" s="78"/>
      <c r="J927" s="67"/>
    </row>
    <row r="928" ht="14.25" customHeight="1">
      <c r="C928" s="67"/>
      <c r="H928" s="78"/>
      <c r="J928" s="67"/>
    </row>
    <row r="929" ht="14.25" customHeight="1">
      <c r="C929" s="67"/>
      <c r="H929" s="78"/>
      <c r="J929" s="67"/>
    </row>
    <row r="930" ht="14.25" customHeight="1">
      <c r="C930" s="67"/>
      <c r="H930" s="78"/>
      <c r="J930" s="67"/>
    </row>
    <row r="931" ht="14.25" customHeight="1">
      <c r="C931" s="67"/>
      <c r="H931" s="78"/>
      <c r="J931" s="67"/>
    </row>
    <row r="932" ht="14.25" customHeight="1">
      <c r="C932" s="67"/>
      <c r="H932" s="78"/>
      <c r="J932" s="67"/>
    </row>
    <row r="933" ht="14.25" customHeight="1">
      <c r="C933" s="67"/>
      <c r="H933" s="78"/>
      <c r="J933" s="67"/>
    </row>
    <row r="934" ht="14.25" customHeight="1">
      <c r="C934" s="67"/>
      <c r="H934" s="78"/>
      <c r="J934" s="67"/>
    </row>
    <row r="935" ht="14.25" customHeight="1">
      <c r="C935" s="67"/>
      <c r="H935" s="78"/>
      <c r="J935" s="67"/>
    </row>
    <row r="936" ht="14.25" customHeight="1">
      <c r="C936" s="67"/>
      <c r="H936" s="78"/>
      <c r="J936" s="67"/>
    </row>
    <row r="937" ht="14.25" customHeight="1">
      <c r="C937" s="67"/>
      <c r="H937" s="78"/>
      <c r="J937" s="67"/>
    </row>
    <row r="938" ht="14.25" customHeight="1">
      <c r="C938" s="67"/>
      <c r="H938" s="78"/>
      <c r="J938" s="67"/>
    </row>
    <row r="939" ht="14.25" customHeight="1">
      <c r="C939" s="67"/>
      <c r="H939" s="78"/>
      <c r="J939" s="67"/>
    </row>
    <row r="940" ht="14.25" customHeight="1">
      <c r="C940" s="67"/>
      <c r="H940" s="78"/>
      <c r="J940" s="67"/>
    </row>
    <row r="941" ht="14.25" customHeight="1">
      <c r="C941" s="67"/>
      <c r="H941" s="78"/>
      <c r="J941" s="67"/>
    </row>
    <row r="942" ht="14.25" customHeight="1">
      <c r="C942" s="67"/>
      <c r="H942" s="78"/>
      <c r="J942" s="67"/>
    </row>
    <row r="943" ht="14.25" customHeight="1">
      <c r="C943" s="67"/>
      <c r="H943" s="78"/>
      <c r="J943" s="67"/>
    </row>
    <row r="944" ht="14.25" customHeight="1">
      <c r="C944" s="67"/>
      <c r="H944" s="78"/>
      <c r="J944" s="67"/>
    </row>
    <row r="945" ht="14.25" customHeight="1">
      <c r="C945" s="67"/>
      <c r="H945" s="78"/>
      <c r="J945" s="67"/>
    </row>
    <row r="946" ht="14.25" customHeight="1">
      <c r="C946" s="67"/>
      <c r="H946" s="78"/>
      <c r="J946" s="67"/>
    </row>
    <row r="947" ht="14.25" customHeight="1">
      <c r="C947" s="67"/>
      <c r="H947" s="78"/>
      <c r="J947" s="67"/>
    </row>
    <row r="948" ht="14.25" customHeight="1">
      <c r="C948" s="67"/>
      <c r="H948" s="78"/>
      <c r="J948" s="67"/>
    </row>
    <row r="949" ht="14.25" customHeight="1">
      <c r="C949" s="67"/>
      <c r="H949" s="78"/>
      <c r="J949" s="67"/>
    </row>
    <row r="950" ht="14.25" customHeight="1">
      <c r="C950" s="67"/>
      <c r="H950" s="78"/>
      <c r="J950" s="67"/>
    </row>
    <row r="951" ht="14.25" customHeight="1">
      <c r="C951" s="67"/>
      <c r="H951" s="78"/>
      <c r="J951" s="67"/>
    </row>
    <row r="952" ht="14.25" customHeight="1">
      <c r="C952" s="67"/>
      <c r="H952" s="78"/>
      <c r="J952" s="67"/>
    </row>
    <row r="953" ht="14.25" customHeight="1">
      <c r="C953" s="67"/>
      <c r="H953" s="78"/>
      <c r="J953" s="67"/>
    </row>
    <row r="954" ht="14.25" customHeight="1">
      <c r="C954" s="67"/>
      <c r="H954" s="78"/>
      <c r="J954" s="67"/>
    </row>
    <row r="955" ht="14.25" customHeight="1">
      <c r="C955" s="67"/>
      <c r="H955" s="78"/>
      <c r="J955" s="67"/>
    </row>
    <row r="956" ht="14.25" customHeight="1">
      <c r="C956" s="67"/>
      <c r="H956" s="78"/>
      <c r="J956" s="67"/>
    </row>
    <row r="957" ht="14.25" customHeight="1">
      <c r="C957" s="67"/>
      <c r="H957" s="78"/>
      <c r="J957" s="67"/>
    </row>
    <row r="958" ht="14.25" customHeight="1">
      <c r="C958" s="67"/>
      <c r="H958" s="78"/>
      <c r="J958" s="67"/>
    </row>
    <row r="959" ht="14.25" customHeight="1">
      <c r="C959" s="67"/>
      <c r="H959" s="78"/>
      <c r="J959" s="67"/>
    </row>
    <row r="960" ht="14.25" customHeight="1">
      <c r="C960" s="67"/>
      <c r="H960" s="78"/>
      <c r="J960" s="67"/>
    </row>
    <row r="961" ht="14.25" customHeight="1">
      <c r="C961" s="67"/>
      <c r="H961" s="78"/>
      <c r="J961" s="67"/>
    </row>
    <row r="962" ht="14.25" customHeight="1">
      <c r="C962" s="67"/>
      <c r="H962" s="78"/>
      <c r="J962" s="67"/>
    </row>
    <row r="963" ht="14.25" customHeight="1">
      <c r="C963" s="67"/>
      <c r="H963" s="78"/>
      <c r="J963" s="67"/>
    </row>
    <row r="964" ht="14.25" customHeight="1">
      <c r="C964" s="67"/>
      <c r="H964" s="78"/>
      <c r="J964" s="67"/>
    </row>
    <row r="965" ht="14.25" customHeight="1">
      <c r="C965" s="67"/>
      <c r="H965" s="78"/>
      <c r="J965" s="67"/>
    </row>
    <row r="966" ht="14.25" customHeight="1">
      <c r="C966" s="67"/>
      <c r="H966" s="78"/>
      <c r="J966" s="67"/>
    </row>
    <row r="967" ht="14.25" customHeight="1">
      <c r="C967" s="67"/>
      <c r="H967" s="78"/>
      <c r="J967" s="67"/>
    </row>
    <row r="968" ht="14.25" customHeight="1">
      <c r="C968" s="67"/>
      <c r="H968" s="78"/>
      <c r="J968" s="67"/>
    </row>
    <row r="969" ht="14.25" customHeight="1">
      <c r="C969" s="67"/>
      <c r="H969" s="78"/>
      <c r="J969" s="67"/>
    </row>
    <row r="970" ht="14.25" customHeight="1">
      <c r="C970" s="67"/>
      <c r="H970" s="78"/>
      <c r="J970" s="67"/>
    </row>
    <row r="971" ht="14.25" customHeight="1">
      <c r="C971" s="67"/>
      <c r="H971" s="78"/>
      <c r="J971" s="67"/>
    </row>
    <row r="972" ht="14.25" customHeight="1">
      <c r="C972" s="67"/>
      <c r="H972" s="78"/>
      <c r="J972" s="67"/>
    </row>
    <row r="973" ht="14.25" customHeight="1">
      <c r="C973" s="67"/>
      <c r="H973" s="78"/>
      <c r="J973" s="67"/>
    </row>
    <row r="974" ht="14.25" customHeight="1">
      <c r="C974" s="67"/>
      <c r="H974" s="78"/>
      <c r="J974" s="67"/>
    </row>
    <row r="975" ht="14.25" customHeight="1">
      <c r="C975" s="67"/>
      <c r="H975" s="78"/>
      <c r="J975" s="67"/>
    </row>
    <row r="976" ht="14.25" customHeight="1">
      <c r="C976" s="67"/>
      <c r="H976" s="78"/>
      <c r="J976" s="67"/>
    </row>
    <row r="977" ht="14.25" customHeight="1">
      <c r="C977" s="67"/>
      <c r="H977" s="78"/>
      <c r="J977" s="67"/>
    </row>
    <row r="978" ht="14.25" customHeight="1">
      <c r="C978" s="67"/>
      <c r="H978" s="78"/>
      <c r="J978" s="67"/>
    </row>
    <row r="979" ht="14.25" customHeight="1">
      <c r="C979" s="67"/>
      <c r="H979" s="78"/>
      <c r="J979" s="67"/>
    </row>
    <row r="980" ht="14.25" customHeight="1">
      <c r="C980" s="67"/>
      <c r="H980" s="78"/>
      <c r="J980" s="67"/>
    </row>
    <row r="981" ht="14.25" customHeight="1">
      <c r="C981" s="67"/>
      <c r="H981" s="78"/>
      <c r="J981" s="67"/>
    </row>
    <row r="982" ht="14.25" customHeight="1">
      <c r="C982" s="67"/>
      <c r="H982" s="78"/>
      <c r="J982" s="67"/>
    </row>
    <row r="983" ht="14.25" customHeight="1">
      <c r="C983" s="67"/>
      <c r="H983" s="78"/>
      <c r="J983" s="67"/>
    </row>
    <row r="984" ht="14.25" customHeight="1">
      <c r="C984" s="67"/>
      <c r="H984" s="78"/>
      <c r="J984" s="67"/>
    </row>
    <row r="985" ht="14.25" customHeight="1">
      <c r="C985" s="67"/>
      <c r="H985" s="78"/>
      <c r="J985" s="67"/>
    </row>
    <row r="986" ht="14.25" customHeight="1">
      <c r="C986" s="67"/>
      <c r="H986" s="78"/>
      <c r="J986" s="67"/>
    </row>
    <row r="987" ht="14.25" customHeight="1">
      <c r="C987" s="67"/>
      <c r="H987" s="78"/>
      <c r="J987" s="67"/>
    </row>
    <row r="988" ht="14.25" customHeight="1">
      <c r="C988" s="67"/>
      <c r="H988" s="78"/>
      <c r="J988" s="67"/>
    </row>
    <row r="989" ht="14.25" customHeight="1">
      <c r="C989" s="67"/>
      <c r="H989" s="78"/>
      <c r="J989" s="67"/>
    </row>
    <row r="990" ht="14.25" customHeight="1">
      <c r="C990" s="67"/>
      <c r="H990" s="78"/>
      <c r="J990" s="67"/>
    </row>
    <row r="991" ht="14.25" customHeight="1">
      <c r="C991" s="67"/>
      <c r="H991" s="78"/>
      <c r="J991" s="67"/>
    </row>
    <row r="992" ht="14.25" customHeight="1">
      <c r="C992" s="67"/>
      <c r="H992" s="78"/>
      <c r="J992" s="67"/>
    </row>
    <row r="993" ht="14.25" customHeight="1">
      <c r="C993" s="67"/>
      <c r="H993" s="78"/>
      <c r="J993" s="67"/>
    </row>
    <row r="994" ht="14.25" customHeight="1">
      <c r="C994" s="67"/>
      <c r="H994" s="78"/>
      <c r="J994" s="67"/>
    </row>
  </sheetData>
  <autoFilter ref="$A$1:$AB$75">
    <filterColumn colId="7">
      <filters>
        <filter val="47.41%"/>
        <filter val="40.00%"/>
        <filter val="76.19%"/>
        <filter val="62.96%"/>
        <filter val="41.27%"/>
        <filter val="46.21%"/>
        <filter val="11.11%"/>
        <filter val="43.86%"/>
        <filter val="44.44%"/>
        <filter val="63.89%"/>
        <filter val="50.79%"/>
        <filter val="39.02%"/>
        <filter val="100.00%"/>
        <filter val="33.33%"/>
        <filter val="0.00%"/>
        <filter val="39.64%"/>
        <filter val="56.82%"/>
        <filter val="45.61%"/>
        <filter val="58.33%"/>
        <filter val="66.67%"/>
        <filter val="35.90%"/>
        <filter val="28.57%"/>
        <filter val="55.56%"/>
        <filter val="25.00%"/>
        <filter val="60.00%"/>
        <filter val="59.46%"/>
        <filter val="48.15%"/>
        <filter val="62.37%"/>
        <filter val="51.28%"/>
        <filter val="50.00%"/>
        <filter val="37.68%"/>
        <filter val="63.44%"/>
        <filter val="61.11%"/>
      </filters>
    </filterColumn>
    <sortState ref="A1:AB75">
      <sortCondition descending="1" ref="K1:K75"/>
      <sortCondition descending="1" ref="B1:B75"/>
      <sortCondition descending="1" ref="H1:H75"/>
      <sortCondition descending="1" ref="A1:A75"/>
    </sortState>
  </autoFilter>
  <conditionalFormatting sqref="H2:H73">
    <cfRule type="cellIs" dxfId="0" priority="1" operator="greaterThanOrEqual">
      <formula>"55%"</formula>
    </cfRule>
  </conditionalFormatting>
  <conditionalFormatting sqref="H2:H73">
    <cfRule type="cellIs" dxfId="1" priority="2" operator="between">
      <formula>"40%"</formula>
      <formula>"55%"</formula>
    </cfRule>
  </conditionalFormatting>
  <conditionalFormatting sqref="H2:H73">
    <cfRule type="cellIs" dxfId="2" priority="3" operator="lessThan">
      <formula>"40%"</formula>
    </cfRule>
  </conditionalFormatting>
  <conditionalFormatting sqref="I31:I53">
    <cfRule type="notContainsBlanks" dxfId="3" priority="4">
      <formula>LEN(TRIM(I31))&gt;0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4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794</v>
      </c>
      <c r="B1" s="2"/>
      <c r="C1" s="3"/>
      <c r="E1" s="4" t="s">
        <v>1</v>
      </c>
      <c r="F1" s="2"/>
      <c r="G1" s="3"/>
      <c r="I1" s="1" t="s">
        <v>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601.6200000000003</v>
      </c>
      <c r="C3" s="14" t="s">
        <v>539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/>
    </row>
    <row r="4" ht="14.25" customHeight="1">
      <c r="A4" s="21" t="s">
        <v>53</v>
      </c>
      <c r="B4" s="19">
        <v>90.0</v>
      </c>
      <c r="C4" s="21" t="s">
        <v>24</v>
      </c>
      <c r="E4" s="21" t="s">
        <v>28</v>
      </c>
      <c r="F4" s="19">
        <v>40.0</v>
      </c>
      <c r="G4" s="21" t="s">
        <v>554</v>
      </c>
      <c r="I4" s="11">
        <v>2.0</v>
      </c>
      <c r="J4" s="11" t="s">
        <v>26</v>
      </c>
      <c r="K4" s="16"/>
    </row>
    <row r="5" ht="14.25" customHeight="1">
      <c r="A5" s="21" t="s">
        <v>39</v>
      </c>
      <c r="B5" s="19">
        <v>90.0</v>
      </c>
      <c r="C5" s="21" t="s">
        <v>24</v>
      </c>
      <c r="E5" s="21" t="s">
        <v>500</v>
      </c>
      <c r="F5" s="19">
        <v>60.003</v>
      </c>
      <c r="G5" s="21" t="s">
        <v>648</v>
      </c>
      <c r="I5" s="11">
        <v>3.0</v>
      </c>
      <c r="J5" s="16" t="s">
        <v>723</v>
      </c>
      <c r="K5" s="16" t="s">
        <v>20</v>
      </c>
    </row>
    <row r="6" ht="14.25" customHeight="1">
      <c r="A6" s="21" t="s">
        <v>269</v>
      </c>
      <c r="B6" s="19">
        <v>180.0</v>
      </c>
      <c r="C6" s="21" t="s">
        <v>375</v>
      </c>
      <c r="E6" s="21" t="s">
        <v>555</v>
      </c>
      <c r="F6" s="19">
        <v>20.0</v>
      </c>
      <c r="G6" s="97" t="s">
        <v>556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42</v>
      </c>
      <c r="B7" s="19">
        <v>90.0</v>
      </c>
      <c r="C7" s="21" t="s">
        <v>24</v>
      </c>
      <c r="E7" s="21" t="s">
        <v>74</v>
      </c>
      <c r="F7" s="19">
        <v>90.0</v>
      </c>
      <c r="G7" s="21" t="s">
        <v>770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208</v>
      </c>
      <c r="B8" s="19">
        <v>90.0</v>
      </c>
      <c r="C8" s="21" t="s">
        <v>24</v>
      </c>
      <c r="E8" s="21" t="s">
        <v>213</v>
      </c>
      <c r="F8" s="19">
        <v>40.0</v>
      </c>
      <c r="G8" s="21" t="s">
        <v>685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43</v>
      </c>
      <c r="B9" s="19">
        <v>90.0</v>
      </c>
      <c r="C9" s="21" t="s">
        <v>24</v>
      </c>
      <c r="E9" s="21" t="s">
        <v>37</v>
      </c>
      <c r="F9" s="19">
        <v>80.0</v>
      </c>
      <c r="G9" s="19" t="s">
        <v>708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60</v>
      </c>
      <c r="B10" s="19">
        <v>90.0</v>
      </c>
      <c r="C10" s="21" t="s">
        <v>24</v>
      </c>
      <c r="E10" s="21" t="s">
        <v>673</v>
      </c>
      <c r="F10" s="19">
        <v>20.0</v>
      </c>
      <c r="G10" s="21" t="s">
        <v>674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795</v>
      </c>
      <c r="B11" s="19">
        <v>-100.0</v>
      </c>
      <c r="C11" s="21" t="s">
        <v>534</v>
      </c>
      <c r="E11" s="21" t="s">
        <v>714</v>
      </c>
      <c r="F11" s="19">
        <v>40.0</v>
      </c>
      <c r="G11" s="21" t="s">
        <v>719</v>
      </c>
      <c r="I11" s="11">
        <v>9.0</v>
      </c>
      <c r="J11" s="29" t="s">
        <v>269</v>
      </c>
      <c r="K11" s="16"/>
    </row>
    <row r="12" ht="14.25" customHeight="1">
      <c r="A12" s="21" t="s">
        <v>365</v>
      </c>
      <c r="B12" s="19">
        <v>180.0</v>
      </c>
      <c r="C12" s="21" t="s">
        <v>796</v>
      </c>
      <c r="E12" s="21" t="s">
        <v>664</v>
      </c>
      <c r="F12" s="19">
        <v>20.0</v>
      </c>
      <c r="G12" s="21" t="s">
        <v>742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97</v>
      </c>
      <c r="B13" s="19">
        <v>90.0</v>
      </c>
      <c r="C13" s="21" t="s">
        <v>24</v>
      </c>
      <c r="E13" s="21" t="s">
        <v>26</v>
      </c>
      <c r="F13" s="19">
        <v>180.0</v>
      </c>
      <c r="G13" s="21" t="s">
        <v>796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797</v>
      </c>
      <c r="E14" s="21" t="s">
        <v>19</v>
      </c>
      <c r="F14" s="19">
        <v>90.0</v>
      </c>
      <c r="G14" s="21" t="s">
        <v>24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33</v>
      </c>
      <c r="B15" s="19">
        <v>180.0</v>
      </c>
      <c r="C15" s="21" t="s">
        <v>796</v>
      </c>
      <c r="D15" s="39"/>
      <c r="E15" s="21" t="s">
        <v>269</v>
      </c>
      <c r="F15" s="19">
        <v>90.0</v>
      </c>
      <c r="G15" s="21" t="s">
        <v>24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348</v>
      </c>
      <c r="B16" s="19">
        <v>20.0</v>
      </c>
      <c r="C16" s="21" t="s">
        <v>798</v>
      </c>
      <c r="E16" s="21" t="s">
        <v>35</v>
      </c>
      <c r="F16" s="19">
        <v>40.0</v>
      </c>
      <c r="G16" s="21" t="s">
        <v>799</v>
      </c>
      <c r="I16" s="11">
        <v>14.0</v>
      </c>
      <c r="J16" s="21" t="s">
        <v>33</v>
      </c>
      <c r="K16" s="16" t="s">
        <v>20</v>
      </c>
    </row>
    <row r="17" ht="14.25" customHeight="1">
      <c r="A17" s="21" t="s">
        <v>60</v>
      </c>
      <c r="B17" s="19">
        <v>20.0</v>
      </c>
      <c r="C17" s="21" t="s">
        <v>784</v>
      </c>
      <c r="E17" s="21" t="s">
        <v>131</v>
      </c>
      <c r="F17" s="19">
        <v>20.0</v>
      </c>
      <c r="G17" s="21" t="s">
        <v>800</v>
      </c>
    </row>
    <row r="18" ht="14.25" customHeight="1">
      <c r="A18" s="21" t="s">
        <v>35</v>
      </c>
      <c r="B18" s="19">
        <v>20.0</v>
      </c>
      <c r="C18" s="21" t="s">
        <v>798</v>
      </c>
    </row>
    <row r="19" ht="14.25" customHeight="1">
      <c r="A19" s="21" t="s">
        <v>723</v>
      </c>
      <c r="B19" s="19">
        <v>90.0</v>
      </c>
      <c r="C19" s="21" t="s">
        <v>24</v>
      </c>
    </row>
    <row r="20" ht="14.25" customHeight="1">
      <c r="A20" s="21" t="s">
        <v>544</v>
      </c>
      <c r="B20" s="19">
        <v>90.0</v>
      </c>
      <c r="C20" s="21" t="s">
        <v>24</v>
      </c>
      <c r="E20" s="11" t="s">
        <v>46</v>
      </c>
      <c r="F20" s="12">
        <f>SUM(F3:F17)</f>
        <v>910.003</v>
      </c>
    </row>
    <row r="21" ht="14.25" customHeight="1">
      <c r="A21" s="21" t="s">
        <v>116</v>
      </c>
      <c r="B21" s="19">
        <v>-30.0</v>
      </c>
      <c r="C21" s="21" t="s">
        <v>801</v>
      </c>
    </row>
    <row r="22" ht="14.25" customHeight="1">
      <c r="A22" s="21" t="s">
        <v>802</v>
      </c>
      <c r="B22" s="19">
        <v>-30.0</v>
      </c>
      <c r="C22" s="21" t="s">
        <v>801</v>
      </c>
    </row>
    <row r="23" ht="14.25" customHeight="1">
      <c r="A23" s="21" t="s">
        <v>126</v>
      </c>
      <c r="B23" s="19">
        <v>40.0</v>
      </c>
      <c r="C23" s="21" t="s">
        <v>798</v>
      </c>
    </row>
    <row r="24" ht="14.25" customHeight="1">
      <c r="A24" s="21" t="s">
        <v>243</v>
      </c>
      <c r="B24" s="19">
        <v>20.0</v>
      </c>
      <c r="C24" s="21" t="s">
        <v>801</v>
      </c>
    </row>
    <row r="25" ht="14.25" customHeight="1">
      <c r="A25" s="21" t="s">
        <v>348</v>
      </c>
      <c r="B25" s="19">
        <v>20.0</v>
      </c>
      <c r="C25" s="21" t="s">
        <v>801</v>
      </c>
    </row>
    <row r="26" ht="14.25" customHeight="1">
      <c r="A26" s="21" t="s">
        <v>35</v>
      </c>
      <c r="B26" s="19">
        <v>20.0</v>
      </c>
      <c r="C26" s="21" t="s">
        <v>801</v>
      </c>
    </row>
    <row r="27" ht="14.25" customHeight="1">
      <c r="A27" s="21" t="s">
        <v>803</v>
      </c>
      <c r="B27" s="19">
        <v>20.0</v>
      </c>
      <c r="C27" s="21" t="s">
        <v>801</v>
      </c>
    </row>
    <row r="28" ht="14.25" customHeight="1">
      <c r="A28" s="21" t="s">
        <v>348</v>
      </c>
      <c r="B28" s="19">
        <v>20.0</v>
      </c>
      <c r="C28" s="21" t="s">
        <v>804</v>
      </c>
    </row>
    <row r="29" ht="14.25" customHeight="1">
      <c r="A29" s="21" t="s">
        <v>116</v>
      </c>
      <c r="B29" s="19">
        <v>-30.0</v>
      </c>
      <c r="C29" s="21" t="s">
        <v>804</v>
      </c>
    </row>
    <row r="30" ht="14.25" customHeight="1">
      <c r="A30" s="21" t="s">
        <v>805</v>
      </c>
      <c r="B30" s="19">
        <v>-60.0</v>
      </c>
      <c r="C30" s="21" t="s">
        <v>800</v>
      </c>
    </row>
    <row r="31" ht="14.25" customHeight="1">
      <c r="A31" s="21" t="s">
        <v>348</v>
      </c>
      <c r="B31" s="19">
        <v>20.0</v>
      </c>
      <c r="C31" s="21" t="s">
        <v>800</v>
      </c>
    </row>
    <row r="32" ht="14.25" customHeight="1">
      <c r="A32" s="21" t="s">
        <v>803</v>
      </c>
      <c r="B32" s="19">
        <v>20.0</v>
      </c>
      <c r="C32" s="21" t="s">
        <v>800</v>
      </c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  <c r="L40" s="47" t="s">
        <v>298</v>
      </c>
    </row>
    <row r="41" ht="14.25" customHeight="1">
      <c r="A41" s="21"/>
      <c r="B41" s="19"/>
      <c r="C41" s="21"/>
      <c r="G41" s="47" t="s">
        <v>298</v>
      </c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891.62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4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809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891.6200000000003</v>
      </c>
      <c r="C3" s="14" t="s">
        <v>607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35</v>
      </c>
      <c r="B4" s="19">
        <v>40.0</v>
      </c>
      <c r="C4" s="21" t="s">
        <v>799</v>
      </c>
      <c r="E4" s="21" t="s">
        <v>500</v>
      </c>
      <c r="F4" s="19">
        <v>60.003</v>
      </c>
      <c r="G4" s="21" t="s">
        <v>648</v>
      </c>
      <c r="I4" s="11">
        <v>2.0</v>
      </c>
      <c r="J4" s="11" t="s">
        <v>26</v>
      </c>
      <c r="K4" s="16"/>
    </row>
    <row r="5" ht="14.25" customHeight="1">
      <c r="A5" s="21" t="s">
        <v>131</v>
      </c>
      <c r="B5" s="19">
        <v>20.0</v>
      </c>
      <c r="C5" s="21" t="s">
        <v>800</v>
      </c>
      <c r="E5" s="21" t="s">
        <v>555</v>
      </c>
      <c r="F5" s="19">
        <v>20.0</v>
      </c>
      <c r="G5" s="97" t="s">
        <v>556</v>
      </c>
      <c r="I5" s="11">
        <v>3.0</v>
      </c>
      <c r="J5" s="16" t="s">
        <v>723</v>
      </c>
      <c r="K5" s="16"/>
    </row>
    <row r="6" ht="14.25" customHeight="1">
      <c r="A6" s="21" t="s">
        <v>42</v>
      </c>
      <c r="B6" s="19">
        <v>90.0</v>
      </c>
      <c r="C6" s="21" t="s">
        <v>99</v>
      </c>
      <c r="E6" s="21" t="s">
        <v>74</v>
      </c>
      <c r="F6" s="19">
        <v>90.0</v>
      </c>
      <c r="G6" s="21" t="s">
        <v>770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19</v>
      </c>
      <c r="B7" s="19">
        <v>180.0</v>
      </c>
      <c r="C7" s="21" t="s">
        <v>403</v>
      </c>
      <c r="E7" s="21" t="s">
        <v>213</v>
      </c>
      <c r="F7" s="19">
        <v>40.0</v>
      </c>
      <c r="G7" s="21" t="s">
        <v>685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39</v>
      </c>
      <c r="B8" s="19">
        <v>90.0</v>
      </c>
      <c r="C8" s="21" t="s">
        <v>99</v>
      </c>
      <c r="E8" s="21" t="s">
        <v>37</v>
      </c>
      <c r="F8" s="19">
        <v>100.0</v>
      </c>
      <c r="G8" s="19" t="s">
        <v>810</v>
      </c>
      <c r="I8" s="11">
        <v>6.0</v>
      </c>
      <c r="J8" s="16" t="s">
        <v>43</v>
      </c>
      <c r="K8" s="16"/>
    </row>
    <row r="9" ht="14.25" customHeight="1">
      <c r="A9" s="21" t="s">
        <v>53</v>
      </c>
      <c r="B9" s="19">
        <v>90.0</v>
      </c>
      <c r="C9" s="21" t="s">
        <v>99</v>
      </c>
      <c r="E9" s="21" t="s">
        <v>673</v>
      </c>
      <c r="F9" s="19">
        <v>20.0</v>
      </c>
      <c r="G9" s="21" t="s">
        <v>674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26</v>
      </c>
      <c r="B10" s="19">
        <v>90.0</v>
      </c>
      <c r="C10" s="21" t="s">
        <v>18</v>
      </c>
      <c r="E10" s="21" t="s">
        <v>714</v>
      </c>
      <c r="F10" s="19">
        <v>40.0</v>
      </c>
      <c r="G10" s="21" t="s">
        <v>719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60</v>
      </c>
      <c r="B11" s="19">
        <v>90.0</v>
      </c>
      <c r="C11" s="21" t="s">
        <v>99</v>
      </c>
      <c r="E11" s="21" t="s">
        <v>664</v>
      </c>
      <c r="F11" s="19">
        <v>20.0</v>
      </c>
      <c r="G11" s="21" t="s">
        <v>742</v>
      </c>
      <c r="I11" s="11">
        <v>9.0</v>
      </c>
      <c r="J11" s="29" t="s">
        <v>269</v>
      </c>
      <c r="K11" s="16"/>
    </row>
    <row r="12" ht="14.25" customHeight="1">
      <c r="A12" s="21" t="s">
        <v>41</v>
      </c>
      <c r="B12" s="19">
        <v>20.0</v>
      </c>
      <c r="C12" s="21" t="s">
        <v>811</v>
      </c>
      <c r="E12" s="21" t="s">
        <v>26</v>
      </c>
      <c r="F12" s="19">
        <v>180.0</v>
      </c>
      <c r="G12" s="21" t="s">
        <v>403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534</v>
      </c>
      <c r="B13" s="19">
        <v>-100.0</v>
      </c>
      <c r="C13" s="21" t="s">
        <v>812</v>
      </c>
      <c r="E13" s="21" t="s">
        <v>269</v>
      </c>
      <c r="F13" s="19">
        <v>180.0</v>
      </c>
      <c r="G13" s="21" t="s">
        <v>403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813</v>
      </c>
      <c r="E14" s="21" t="s">
        <v>131</v>
      </c>
      <c r="F14" s="19">
        <v>40.0</v>
      </c>
      <c r="G14" s="21" t="s">
        <v>814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116</v>
      </c>
      <c r="B15" s="19">
        <v>-30.0</v>
      </c>
      <c r="C15" s="21" t="s">
        <v>811</v>
      </c>
      <c r="D15" s="39"/>
      <c r="E15" s="21" t="s">
        <v>815</v>
      </c>
      <c r="F15" s="19">
        <v>20.0</v>
      </c>
      <c r="G15" s="21" t="s">
        <v>816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544</v>
      </c>
      <c r="B16" s="19">
        <v>90.0</v>
      </c>
      <c r="C16" s="21" t="s">
        <v>99</v>
      </c>
      <c r="E16" s="21" t="s">
        <v>126</v>
      </c>
      <c r="F16" s="19">
        <v>20.0</v>
      </c>
      <c r="G16" s="21" t="s">
        <v>818</v>
      </c>
      <c r="I16" s="11">
        <v>14.0</v>
      </c>
      <c r="J16" s="21" t="s">
        <v>33</v>
      </c>
      <c r="K16" s="16" t="s">
        <v>20</v>
      </c>
    </row>
    <row r="17" ht="14.25" customHeight="1">
      <c r="A17" s="21" t="s">
        <v>208</v>
      </c>
      <c r="B17" s="19">
        <v>90.0</v>
      </c>
      <c r="C17" s="21" t="s">
        <v>99</v>
      </c>
      <c r="E17" s="21" t="s">
        <v>28</v>
      </c>
      <c r="F17" s="19">
        <v>60.0</v>
      </c>
      <c r="G17" s="21" t="s">
        <v>819</v>
      </c>
    </row>
    <row r="18" ht="14.25" customHeight="1">
      <c r="A18" s="21" t="s">
        <v>97</v>
      </c>
      <c r="B18" s="19">
        <v>90.0</v>
      </c>
      <c r="C18" s="21" t="s">
        <v>99</v>
      </c>
      <c r="E18" s="21" t="s">
        <v>723</v>
      </c>
      <c r="F18" s="19">
        <v>90.0</v>
      </c>
      <c r="G18" s="21" t="s">
        <v>99</v>
      </c>
    </row>
    <row r="19" ht="14.25" customHeight="1">
      <c r="A19" s="21" t="s">
        <v>33</v>
      </c>
      <c r="B19" s="19">
        <v>90.0</v>
      </c>
      <c r="C19" s="21" t="s">
        <v>99</v>
      </c>
    </row>
    <row r="20" ht="14.25" customHeight="1">
      <c r="A20" s="21" t="s">
        <v>116</v>
      </c>
      <c r="B20" s="19">
        <v>-30.0</v>
      </c>
      <c r="C20" s="21" t="s">
        <v>816</v>
      </c>
    </row>
    <row r="21" ht="14.25" customHeight="1">
      <c r="A21" s="21" t="s">
        <v>820</v>
      </c>
      <c r="B21" s="19">
        <v>-30.0</v>
      </c>
      <c r="C21" s="21" t="s">
        <v>816</v>
      </c>
    </row>
    <row r="22" ht="14.25" customHeight="1">
      <c r="A22" s="21" t="s">
        <v>822</v>
      </c>
      <c r="B22" s="19">
        <v>60.0</v>
      </c>
      <c r="C22" s="21" t="s">
        <v>816</v>
      </c>
    </row>
    <row r="23" ht="14.25" customHeight="1">
      <c r="A23" s="21" t="s">
        <v>41</v>
      </c>
      <c r="B23" s="19">
        <v>20.0</v>
      </c>
      <c r="C23" s="21" t="s">
        <v>823</v>
      </c>
    </row>
    <row r="24" ht="14.25" customHeight="1">
      <c r="A24" s="21" t="s">
        <v>365</v>
      </c>
      <c r="B24" s="19">
        <v>90.0</v>
      </c>
      <c r="C24" s="21" t="s">
        <v>99</v>
      </c>
      <c r="E24" s="11" t="s">
        <v>46</v>
      </c>
      <c r="F24" s="12">
        <f>SUM(F3:F17)</f>
        <v>970.003</v>
      </c>
    </row>
    <row r="25" ht="14.25" customHeight="1">
      <c r="A25" s="21" t="s">
        <v>826</v>
      </c>
      <c r="B25" s="19">
        <v>-60.0</v>
      </c>
      <c r="C25" s="21" t="s">
        <v>823</v>
      </c>
    </row>
    <row r="26" ht="14.25" customHeight="1">
      <c r="A26" s="21" t="s">
        <v>826</v>
      </c>
      <c r="B26" s="19">
        <v>-30.0</v>
      </c>
      <c r="C26" s="21" t="s">
        <v>818</v>
      </c>
    </row>
    <row r="27" ht="14.25" customHeight="1">
      <c r="A27" s="21" t="s">
        <v>19</v>
      </c>
      <c r="B27" s="19">
        <v>90.0</v>
      </c>
      <c r="C27" s="21" t="s">
        <v>829</v>
      </c>
    </row>
    <row r="28" ht="14.25" customHeight="1">
      <c r="A28" s="21" t="s">
        <v>126</v>
      </c>
      <c r="B28" s="19">
        <v>40.0</v>
      </c>
      <c r="C28" s="21" t="s">
        <v>830</v>
      </c>
    </row>
    <row r="29" ht="14.25" customHeight="1">
      <c r="A29" s="21" t="s">
        <v>831</v>
      </c>
      <c r="B29" s="19">
        <v>80.0</v>
      </c>
      <c r="C29" s="21" t="s">
        <v>832</v>
      </c>
    </row>
    <row r="30" ht="14.25" customHeight="1">
      <c r="A30" s="21" t="s">
        <v>43</v>
      </c>
      <c r="B30" s="19">
        <v>90.0</v>
      </c>
      <c r="C30" s="21" t="s">
        <v>99</v>
      </c>
    </row>
    <row r="31" ht="14.25" customHeight="1">
      <c r="A31" s="21" t="s">
        <v>782</v>
      </c>
      <c r="B31" s="19">
        <v>20.0</v>
      </c>
      <c r="C31" s="21" t="s">
        <v>823</v>
      </c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  <c r="L40" s="47" t="s">
        <v>298</v>
      </c>
    </row>
    <row r="41" ht="14.25" customHeight="1">
      <c r="A41" s="21"/>
      <c r="B41" s="19"/>
      <c r="C41" s="21"/>
      <c r="G41" s="47" t="s">
        <v>298</v>
      </c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1121.62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4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809</v>
      </c>
      <c r="B1" s="2"/>
      <c r="C1" s="3"/>
      <c r="E1" s="4" t="s">
        <v>1</v>
      </c>
      <c r="F1" s="2"/>
      <c r="G1" s="3"/>
      <c r="I1" s="1" t="s">
        <v>8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1121.6200000000003</v>
      </c>
      <c r="C3" s="14" t="s">
        <v>607</v>
      </c>
      <c r="E3" s="21" t="s">
        <v>17</v>
      </c>
      <c r="F3" s="19">
        <v>80.0</v>
      </c>
      <c r="G3" s="21" t="s">
        <v>667</v>
      </c>
      <c r="I3" s="11">
        <v>1.0</v>
      </c>
      <c r="J3" s="11" t="s">
        <v>19</v>
      </c>
      <c r="K3" s="16" t="s">
        <v>20</v>
      </c>
    </row>
    <row r="4" ht="14.25" customHeight="1">
      <c r="A4" s="21" t="s">
        <v>42</v>
      </c>
      <c r="B4" s="19">
        <v>90.0</v>
      </c>
      <c r="C4" s="21" t="s">
        <v>71</v>
      </c>
      <c r="E4" s="21" t="s">
        <v>500</v>
      </c>
      <c r="F4" s="19">
        <v>60.003</v>
      </c>
      <c r="G4" s="21" t="s">
        <v>648</v>
      </c>
      <c r="I4" s="11">
        <v>2.0</v>
      </c>
      <c r="J4" s="11" t="s">
        <v>26</v>
      </c>
      <c r="K4" s="16"/>
    </row>
    <row r="5" ht="14.25" customHeight="1">
      <c r="A5" s="21" t="s">
        <v>817</v>
      </c>
      <c r="B5" s="19">
        <v>90.0</v>
      </c>
      <c r="C5" s="21" t="s">
        <v>71</v>
      </c>
      <c r="E5" s="21" t="s">
        <v>555</v>
      </c>
      <c r="F5" s="19">
        <v>20.0</v>
      </c>
      <c r="G5" s="97" t="s">
        <v>556</v>
      </c>
      <c r="I5" s="11">
        <v>3.0</v>
      </c>
      <c r="J5" s="16" t="s">
        <v>723</v>
      </c>
      <c r="K5" s="16" t="s">
        <v>20</v>
      </c>
    </row>
    <row r="6" ht="14.25" customHeight="1">
      <c r="A6" s="21" t="s">
        <v>39</v>
      </c>
      <c r="B6" s="19">
        <v>90.0</v>
      </c>
      <c r="C6" s="21" t="s">
        <v>71</v>
      </c>
      <c r="E6" s="21" t="s">
        <v>74</v>
      </c>
      <c r="F6" s="19">
        <v>90.0</v>
      </c>
      <c r="G6" s="21" t="s">
        <v>770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53</v>
      </c>
      <c r="B7" s="19">
        <v>90.0</v>
      </c>
      <c r="C7" s="21" t="s">
        <v>71</v>
      </c>
      <c r="E7" s="21" t="s">
        <v>213</v>
      </c>
      <c r="F7" s="19">
        <v>40.0</v>
      </c>
      <c r="G7" s="21" t="s">
        <v>685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534</v>
      </c>
      <c r="B8" s="19">
        <v>-100.0</v>
      </c>
      <c r="C8" s="21" t="s">
        <v>821</v>
      </c>
      <c r="E8" s="21" t="s">
        <v>37</v>
      </c>
      <c r="F8" s="19">
        <v>100.0</v>
      </c>
      <c r="G8" s="19" t="s">
        <v>810</v>
      </c>
      <c r="I8" s="11">
        <v>6.0</v>
      </c>
      <c r="J8" s="16" t="s">
        <v>43</v>
      </c>
      <c r="K8" s="16"/>
    </row>
    <row r="9" ht="14.25" customHeight="1">
      <c r="A9" s="21" t="s">
        <v>131</v>
      </c>
      <c r="B9" s="19">
        <v>60.0</v>
      </c>
      <c r="C9" s="21" t="s">
        <v>824</v>
      </c>
      <c r="E9" s="21" t="s">
        <v>673</v>
      </c>
      <c r="F9" s="19">
        <v>20.0</v>
      </c>
      <c r="G9" s="21" t="s">
        <v>674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723</v>
      </c>
      <c r="B10" s="19">
        <v>180.0</v>
      </c>
      <c r="C10" s="21" t="s">
        <v>825</v>
      </c>
      <c r="E10" s="21" t="s">
        <v>714</v>
      </c>
      <c r="F10" s="19">
        <v>40.0</v>
      </c>
      <c r="G10" s="21" t="s">
        <v>719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827</v>
      </c>
      <c r="B11" s="19">
        <v>-30.0</v>
      </c>
      <c r="C11" s="21" t="s">
        <v>828</v>
      </c>
      <c r="E11" s="21" t="s">
        <v>664</v>
      </c>
      <c r="F11" s="19">
        <v>20.0</v>
      </c>
      <c r="G11" s="21" t="s">
        <v>742</v>
      </c>
      <c r="I11" s="11">
        <v>9.0</v>
      </c>
      <c r="J11" s="29" t="s">
        <v>269</v>
      </c>
      <c r="K11" s="16" t="s">
        <v>210</v>
      </c>
    </row>
    <row r="12" ht="14.25" customHeight="1">
      <c r="A12" s="21" t="s">
        <v>208</v>
      </c>
      <c r="B12" s="19">
        <v>90.0</v>
      </c>
      <c r="C12" s="21" t="s">
        <v>71</v>
      </c>
      <c r="E12" s="21" t="s">
        <v>26</v>
      </c>
      <c r="F12" s="19">
        <v>180.0</v>
      </c>
      <c r="G12" s="21" t="s">
        <v>825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544</v>
      </c>
      <c r="B13" s="19">
        <v>90.0</v>
      </c>
      <c r="C13" s="21" t="s">
        <v>71</v>
      </c>
      <c r="E13" s="21" t="s">
        <v>815</v>
      </c>
      <c r="F13" s="19">
        <v>20.0</v>
      </c>
      <c r="G13" s="21" t="s">
        <v>816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833</v>
      </c>
      <c r="E14" s="21" t="s">
        <v>28</v>
      </c>
      <c r="F14" s="19">
        <v>60.0</v>
      </c>
      <c r="G14" s="21" t="s">
        <v>819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348</v>
      </c>
      <c r="B15" s="19">
        <v>20.0</v>
      </c>
      <c r="C15" s="21" t="s">
        <v>828</v>
      </c>
      <c r="D15" s="39"/>
      <c r="E15" s="21" t="s">
        <v>43</v>
      </c>
      <c r="F15" s="19">
        <v>90.0</v>
      </c>
      <c r="G15" s="21" t="s">
        <v>71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97</v>
      </c>
      <c r="B16" s="19">
        <v>90.0</v>
      </c>
      <c r="C16" s="21" t="s">
        <v>71</v>
      </c>
      <c r="E16" s="21" t="s">
        <v>33</v>
      </c>
      <c r="F16" s="19">
        <v>90.0</v>
      </c>
      <c r="G16" s="21" t="s">
        <v>71</v>
      </c>
      <c r="I16" s="11">
        <v>14.0</v>
      </c>
      <c r="J16" s="21" t="s">
        <v>33</v>
      </c>
      <c r="K16" s="16"/>
    </row>
    <row r="17" ht="14.25" customHeight="1">
      <c r="A17" s="21" t="s">
        <v>269</v>
      </c>
      <c r="B17" s="19">
        <v>180.0</v>
      </c>
      <c r="C17" s="21" t="s">
        <v>403</v>
      </c>
      <c r="E17" s="21" t="s">
        <v>718</v>
      </c>
      <c r="F17" s="19">
        <v>20.0</v>
      </c>
      <c r="G17" s="21" t="s">
        <v>834</v>
      </c>
    </row>
    <row r="18" ht="14.25" customHeight="1">
      <c r="A18" s="21" t="s">
        <v>126</v>
      </c>
      <c r="B18" s="19">
        <v>40.0</v>
      </c>
      <c r="C18" s="21" t="s">
        <v>835</v>
      </c>
      <c r="E18" s="21" t="s">
        <v>261</v>
      </c>
      <c r="F18" s="19">
        <v>20.0</v>
      </c>
      <c r="G18" s="21" t="s">
        <v>834</v>
      </c>
    </row>
    <row r="19" ht="14.25" customHeight="1">
      <c r="A19" s="21" t="s">
        <v>836</v>
      </c>
      <c r="B19" s="19">
        <v>20.0</v>
      </c>
      <c r="C19" s="21" t="s">
        <v>837</v>
      </c>
      <c r="E19" s="21" t="s">
        <v>838</v>
      </c>
      <c r="F19" s="19">
        <v>20.0</v>
      </c>
      <c r="G19" s="21" t="s">
        <v>839</v>
      </c>
    </row>
    <row r="20" ht="14.25" customHeight="1">
      <c r="A20" s="21" t="s">
        <v>365</v>
      </c>
      <c r="B20" s="19">
        <v>90.0</v>
      </c>
      <c r="C20" s="21" t="s">
        <v>71</v>
      </c>
    </row>
    <row r="21" ht="14.25" customHeight="1">
      <c r="A21" s="21" t="s">
        <v>792</v>
      </c>
      <c r="B21" s="19">
        <v>-60.0</v>
      </c>
      <c r="C21" s="21" t="s">
        <v>840</v>
      </c>
    </row>
    <row r="22" ht="14.25" customHeight="1">
      <c r="A22" s="21" t="s">
        <v>126</v>
      </c>
      <c r="B22" s="19">
        <v>20.0</v>
      </c>
      <c r="C22" s="21" t="s">
        <v>834</v>
      </c>
    </row>
    <row r="23" ht="14.25" customHeight="1">
      <c r="A23" s="21" t="s">
        <v>26</v>
      </c>
      <c r="B23" s="19">
        <v>90.0</v>
      </c>
      <c r="C23" s="21" t="s">
        <v>841</v>
      </c>
    </row>
    <row r="24" ht="14.25" customHeight="1">
      <c r="A24" s="21" t="s">
        <v>662</v>
      </c>
      <c r="B24" s="19">
        <v>-30.0</v>
      </c>
      <c r="C24" s="21" t="s">
        <v>837</v>
      </c>
      <c r="E24" s="11" t="s">
        <v>46</v>
      </c>
      <c r="F24" s="12">
        <f>SUM(F3:F16)</f>
        <v>910.003</v>
      </c>
    </row>
    <row r="25" ht="14.25" customHeight="1">
      <c r="A25" s="21" t="s">
        <v>164</v>
      </c>
      <c r="B25" s="19">
        <v>-30.0</v>
      </c>
      <c r="C25" s="21" t="s">
        <v>837</v>
      </c>
    </row>
    <row r="26" ht="14.25" customHeight="1">
      <c r="A26" s="21" t="s">
        <v>364</v>
      </c>
      <c r="B26" s="19">
        <v>-348.78</v>
      </c>
      <c r="C26" s="21" t="s">
        <v>364</v>
      </c>
    </row>
    <row r="27" ht="14.25" customHeight="1">
      <c r="A27" s="21" t="s">
        <v>116</v>
      </c>
      <c r="B27" s="19">
        <v>-30.0</v>
      </c>
      <c r="C27" s="21" t="s">
        <v>839</v>
      </c>
    </row>
    <row r="28" ht="14.25" customHeight="1">
      <c r="A28" s="21" t="s">
        <v>139</v>
      </c>
      <c r="B28" s="19">
        <v>-30.0</v>
      </c>
      <c r="C28" s="21" t="s">
        <v>839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  <c r="L40" s="47" t="s">
        <v>298</v>
      </c>
    </row>
    <row r="41" ht="14.25" customHeight="1">
      <c r="A41" s="21"/>
      <c r="B41" s="19"/>
      <c r="C41" s="21"/>
      <c r="G41" s="47" t="s">
        <v>298</v>
      </c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742.84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 t="s">
        <v>809</v>
      </c>
      <c r="B1" s="2"/>
      <c r="C1" s="3"/>
      <c r="E1" s="4" t="s">
        <v>1</v>
      </c>
      <c r="F1" s="2"/>
      <c r="G1" s="3"/>
      <c r="I1" s="1" t="s">
        <v>15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742.8400000000004</v>
      </c>
      <c r="C3" s="14" t="s">
        <v>607</v>
      </c>
      <c r="E3" s="21" t="s">
        <v>17</v>
      </c>
      <c r="F3" s="19">
        <v>100.0</v>
      </c>
      <c r="G3" s="21" t="s">
        <v>842</v>
      </c>
      <c r="I3" s="11">
        <v>1.0</v>
      </c>
      <c r="J3" s="11" t="s">
        <v>19</v>
      </c>
      <c r="K3" s="16"/>
    </row>
    <row r="4" ht="14.25" customHeight="1">
      <c r="A4" s="21" t="s">
        <v>838</v>
      </c>
      <c r="B4" s="19">
        <v>20.0</v>
      </c>
      <c r="C4" s="21" t="s">
        <v>839</v>
      </c>
      <c r="E4" s="21" t="s">
        <v>500</v>
      </c>
      <c r="F4" s="19">
        <v>60.003</v>
      </c>
      <c r="G4" s="21" t="s">
        <v>648</v>
      </c>
      <c r="I4" s="11">
        <v>2.0</v>
      </c>
      <c r="J4" s="11" t="s">
        <v>26</v>
      </c>
      <c r="K4" s="16"/>
    </row>
    <row r="5" ht="14.25" customHeight="1">
      <c r="A5" s="21" t="s">
        <v>33</v>
      </c>
      <c r="B5" s="19">
        <v>180.0</v>
      </c>
      <c r="C5" s="21" t="s">
        <v>843</v>
      </c>
      <c r="E5" s="21" t="s">
        <v>555</v>
      </c>
      <c r="F5" s="19">
        <v>20.0</v>
      </c>
      <c r="G5" s="97" t="s">
        <v>556</v>
      </c>
      <c r="I5" s="11">
        <v>3.0</v>
      </c>
      <c r="J5" s="16" t="s">
        <v>723</v>
      </c>
      <c r="K5" s="16"/>
    </row>
    <row r="6" ht="14.25" customHeight="1">
      <c r="A6" s="21" t="s">
        <v>348</v>
      </c>
      <c r="B6" s="19">
        <v>90.0</v>
      </c>
      <c r="C6" s="21" t="s">
        <v>57</v>
      </c>
      <c r="E6" s="21" t="s">
        <v>74</v>
      </c>
      <c r="F6" s="19">
        <v>90.0</v>
      </c>
      <c r="G6" s="21" t="s">
        <v>770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261</v>
      </c>
      <c r="B7" s="19">
        <v>20.0</v>
      </c>
      <c r="C7" s="21" t="s">
        <v>834</v>
      </c>
      <c r="E7" s="21" t="s">
        <v>673</v>
      </c>
      <c r="F7" s="19">
        <v>20.0</v>
      </c>
      <c r="G7" s="21" t="s">
        <v>674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26</v>
      </c>
      <c r="B8" s="19">
        <v>90.0</v>
      </c>
      <c r="C8" s="21" t="s">
        <v>99</v>
      </c>
      <c r="E8" s="21" t="s">
        <v>714</v>
      </c>
      <c r="F8" s="19">
        <v>40.0</v>
      </c>
      <c r="G8" s="21" t="s">
        <v>719</v>
      </c>
      <c r="I8" s="11">
        <v>6.0</v>
      </c>
      <c r="J8" s="16" t="s">
        <v>43</v>
      </c>
      <c r="K8" s="16"/>
    </row>
    <row r="9" ht="14.25" customHeight="1">
      <c r="A9" s="21" t="s">
        <v>116</v>
      </c>
      <c r="B9" s="19">
        <v>-30.0</v>
      </c>
      <c r="C9" s="21" t="s">
        <v>844</v>
      </c>
      <c r="E9" s="21" t="s">
        <v>664</v>
      </c>
      <c r="F9" s="19">
        <v>20.0</v>
      </c>
      <c r="G9" s="21" t="s">
        <v>742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53</v>
      </c>
      <c r="B10" s="19">
        <v>90.0</v>
      </c>
      <c r="C10" s="21" t="s">
        <v>57</v>
      </c>
      <c r="E10" s="21" t="s">
        <v>213</v>
      </c>
      <c r="F10" s="19">
        <v>40.0</v>
      </c>
      <c r="G10" s="21" t="s">
        <v>685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39</v>
      </c>
      <c r="B11" s="19">
        <v>90.0</v>
      </c>
      <c r="C11" s="21" t="s">
        <v>57</v>
      </c>
      <c r="E11" s="21" t="s">
        <v>37</v>
      </c>
      <c r="F11" s="19">
        <v>100.0</v>
      </c>
      <c r="G11" s="19" t="s">
        <v>810</v>
      </c>
      <c r="I11" s="11">
        <v>9.0</v>
      </c>
      <c r="J11" s="29" t="s">
        <v>348</v>
      </c>
      <c r="K11" s="16" t="s">
        <v>20</v>
      </c>
    </row>
    <row r="12" ht="14.25" customHeight="1">
      <c r="A12" s="21" t="s">
        <v>544</v>
      </c>
      <c r="B12" s="19">
        <v>90.0</v>
      </c>
      <c r="C12" s="21" t="s">
        <v>57</v>
      </c>
      <c r="E12" s="21" t="s">
        <v>26</v>
      </c>
      <c r="F12" s="19">
        <v>180.0</v>
      </c>
      <c r="G12" s="21" t="s">
        <v>445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792</v>
      </c>
      <c r="B13" s="19">
        <v>-30.0</v>
      </c>
      <c r="C13" s="21" t="s">
        <v>845</v>
      </c>
      <c r="E13" s="21" t="s">
        <v>815</v>
      </c>
      <c r="F13" s="19">
        <v>20.0</v>
      </c>
      <c r="G13" s="21" t="s">
        <v>816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846</v>
      </c>
      <c r="E14" s="21" t="s">
        <v>28</v>
      </c>
      <c r="F14" s="19">
        <v>60.0</v>
      </c>
      <c r="G14" s="21" t="s">
        <v>819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60</v>
      </c>
      <c r="B15" s="19">
        <v>90.0</v>
      </c>
      <c r="C15" s="21" t="s">
        <v>57</v>
      </c>
      <c r="D15" s="39"/>
      <c r="E15" s="21" t="s">
        <v>718</v>
      </c>
      <c r="F15" s="19">
        <v>20.0</v>
      </c>
      <c r="G15" s="21" t="s">
        <v>834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208</v>
      </c>
      <c r="B16" s="19">
        <v>90.0</v>
      </c>
      <c r="C16" s="21" t="s">
        <v>57</v>
      </c>
      <c r="E16" s="21" t="s">
        <v>408</v>
      </c>
      <c r="F16" s="19">
        <v>40.0</v>
      </c>
      <c r="G16" s="21" t="s">
        <v>847</v>
      </c>
      <c r="I16" s="11">
        <v>14.0</v>
      </c>
      <c r="J16" s="21" t="s">
        <v>33</v>
      </c>
      <c r="K16" s="16" t="s">
        <v>20</v>
      </c>
    </row>
    <row r="17" ht="14.25" customHeight="1">
      <c r="A17" s="21" t="s">
        <v>116</v>
      </c>
      <c r="B17" s="19">
        <v>-30.0</v>
      </c>
      <c r="C17" s="21" t="s">
        <v>848</v>
      </c>
      <c r="E17" s="21" t="s">
        <v>131</v>
      </c>
      <c r="F17" s="19">
        <v>40.0</v>
      </c>
      <c r="G17" s="21" t="s">
        <v>849</v>
      </c>
    </row>
    <row r="18" ht="14.25" customHeight="1">
      <c r="A18" s="21" t="s">
        <v>164</v>
      </c>
      <c r="B18" s="19">
        <v>-30.0</v>
      </c>
      <c r="C18" s="21" t="s">
        <v>848</v>
      </c>
      <c r="E18" s="21" t="s">
        <v>41</v>
      </c>
      <c r="F18" s="19">
        <v>20.0</v>
      </c>
      <c r="G18" s="21" t="s">
        <v>850</v>
      </c>
    </row>
    <row r="19" ht="14.25" customHeight="1">
      <c r="A19" s="21" t="s">
        <v>43</v>
      </c>
      <c r="B19" s="19">
        <v>90.0</v>
      </c>
      <c r="C19" s="21" t="s">
        <v>71</v>
      </c>
      <c r="E19" s="21" t="s">
        <v>851</v>
      </c>
      <c r="F19" s="19">
        <v>90.0</v>
      </c>
      <c r="G19" s="21" t="s">
        <v>57</v>
      </c>
    </row>
    <row r="20" ht="14.25" customHeight="1">
      <c r="A20" s="21" t="s">
        <v>97</v>
      </c>
      <c r="B20" s="19">
        <v>90.0</v>
      </c>
      <c r="C20" s="21" t="s">
        <v>57</v>
      </c>
      <c r="E20" s="21" t="s">
        <v>723</v>
      </c>
      <c r="F20" s="19">
        <v>90.0</v>
      </c>
      <c r="G20" s="21" t="s">
        <v>57</v>
      </c>
    </row>
    <row r="21" ht="14.25" customHeight="1">
      <c r="A21" s="21" t="s">
        <v>42</v>
      </c>
      <c r="B21" s="19">
        <v>90.0</v>
      </c>
      <c r="C21" s="21" t="s">
        <v>57</v>
      </c>
      <c r="E21" s="21" t="s">
        <v>19</v>
      </c>
      <c r="F21" s="19">
        <v>90.0</v>
      </c>
      <c r="G21" s="21" t="s">
        <v>57</v>
      </c>
    </row>
    <row r="22" ht="14.25" customHeight="1">
      <c r="A22" s="21" t="s">
        <v>782</v>
      </c>
      <c r="B22" s="19">
        <v>20.0</v>
      </c>
      <c r="C22" s="21" t="s">
        <v>848</v>
      </c>
      <c r="E22" s="21" t="s">
        <v>838</v>
      </c>
      <c r="F22" s="19">
        <v>20.0</v>
      </c>
      <c r="G22" s="21" t="s">
        <v>852</v>
      </c>
    </row>
    <row r="23" ht="14.25" customHeight="1">
      <c r="A23" s="21" t="s">
        <v>365</v>
      </c>
      <c r="B23" s="19">
        <v>90.0</v>
      </c>
      <c r="C23" s="21" t="s">
        <v>57</v>
      </c>
      <c r="E23" s="21" t="s">
        <v>290</v>
      </c>
      <c r="F23" s="19">
        <v>20.0</v>
      </c>
      <c r="G23" s="21" t="s">
        <v>852</v>
      </c>
    </row>
    <row r="24" ht="14.25" customHeight="1">
      <c r="A24" s="21" t="s">
        <v>782</v>
      </c>
      <c r="B24" s="19">
        <v>20.0</v>
      </c>
      <c r="C24" s="21" t="s">
        <v>850</v>
      </c>
    </row>
    <row r="25" ht="14.25" customHeight="1">
      <c r="A25" s="21" t="s">
        <v>853</v>
      </c>
      <c r="B25" s="19">
        <v>-30.0</v>
      </c>
      <c r="C25" s="21" t="s">
        <v>850</v>
      </c>
    </row>
    <row r="26" ht="14.25" customHeight="1">
      <c r="A26" s="21" t="s">
        <v>854</v>
      </c>
      <c r="B26" s="19">
        <v>20.0</v>
      </c>
      <c r="C26" s="21" t="s">
        <v>855</v>
      </c>
    </row>
    <row r="27" ht="14.25" customHeight="1">
      <c r="A27" s="21" t="s">
        <v>126</v>
      </c>
      <c r="B27" s="19">
        <v>60.0</v>
      </c>
      <c r="C27" s="21" t="s">
        <v>856</v>
      </c>
    </row>
    <row r="28" ht="14.25" customHeight="1">
      <c r="A28" s="21" t="s">
        <v>67</v>
      </c>
      <c r="B28" s="19">
        <v>-30.0</v>
      </c>
      <c r="C28" s="21" t="s">
        <v>857</v>
      </c>
    </row>
    <row r="29" ht="14.25" customHeight="1">
      <c r="A29" s="21" t="s">
        <v>858</v>
      </c>
      <c r="B29" s="19">
        <v>50.0</v>
      </c>
      <c r="C29" s="21" t="s">
        <v>859</v>
      </c>
    </row>
    <row r="30" ht="14.25" customHeight="1">
      <c r="A30" s="21" t="s">
        <v>860</v>
      </c>
      <c r="B30" s="19">
        <v>120.0</v>
      </c>
      <c r="C30" s="21" t="s">
        <v>364</v>
      </c>
    </row>
    <row r="31" ht="14.25" customHeight="1">
      <c r="A31" s="21"/>
      <c r="B31" s="19"/>
      <c r="C31" s="21"/>
      <c r="E31" s="11" t="s">
        <v>46</v>
      </c>
      <c r="F31" s="12">
        <f>SUM(F3:F25)</f>
        <v>1180.003</v>
      </c>
    </row>
    <row r="32" ht="14.25" customHeight="1">
      <c r="A32" s="21"/>
      <c r="B32" s="19"/>
      <c r="C32" s="21"/>
    </row>
    <row r="33" ht="14.25" customHeight="1">
      <c r="A33" s="21"/>
      <c r="B33" s="19"/>
      <c r="C33" s="21"/>
    </row>
    <row r="34" ht="14.25" customHeight="1">
      <c r="A34" s="21"/>
      <c r="B34" s="19"/>
      <c r="C34" s="21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1"/>
    </row>
    <row r="39" ht="14.25" customHeight="1">
      <c r="A39" s="21"/>
      <c r="B39" s="19"/>
      <c r="C39" s="21"/>
    </row>
    <row r="40" ht="14.25" customHeight="1">
      <c r="A40" s="21"/>
      <c r="B40" s="19"/>
      <c r="C40" s="21"/>
      <c r="L40" s="47" t="s">
        <v>298</v>
      </c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1012.84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/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1012.8400000000004</v>
      </c>
      <c r="C3" s="14" t="s">
        <v>607</v>
      </c>
      <c r="E3" s="21" t="s">
        <v>17</v>
      </c>
      <c r="F3" s="19">
        <v>100.0</v>
      </c>
      <c r="G3" s="21" t="s">
        <v>842</v>
      </c>
      <c r="I3" s="11">
        <v>1.0</v>
      </c>
      <c r="J3" s="11" t="s">
        <v>19</v>
      </c>
      <c r="K3" s="16"/>
    </row>
    <row r="4" ht="14.25" customHeight="1">
      <c r="A4" s="21" t="s">
        <v>851</v>
      </c>
      <c r="B4" s="19">
        <v>90.0</v>
      </c>
      <c r="C4" s="21" t="s">
        <v>57</v>
      </c>
      <c r="E4" s="21" t="s">
        <v>500</v>
      </c>
      <c r="F4" s="19">
        <v>60.003</v>
      </c>
      <c r="G4" s="21" t="s">
        <v>648</v>
      </c>
      <c r="I4" s="11">
        <v>2.0</v>
      </c>
      <c r="J4" s="11" t="s">
        <v>26</v>
      </c>
      <c r="K4" s="16"/>
    </row>
    <row r="5" ht="14.25" customHeight="1">
      <c r="A5" s="21" t="s">
        <v>69</v>
      </c>
      <c r="B5" s="19">
        <v>-540.69</v>
      </c>
      <c r="C5" s="21" t="s">
        <v>861</v>
      </c>
      <c r="E5" s="21" t="s">
        <v>555</v>
      </c>
      <c r="F5" s="19">
        <v>20.0</v>
      </c>
      <c r="G5" s="97" t="s">
        <v>556</v>
      </c>
      <c r="I5" s="11">
        <v>3.0</v>
      </c>
      <c r="J5" s="16" t="s">
        <v>723</v>
      </c>
      <c r="K5" s="16" t="s">
        <v>20</v>
      </c>
    </row>
    <row r="6" ht="14.25" customHeight="1">
      <c r="A6" s="21" t="s">
        <v>838</v>
      </c>
      <c r="B6" s="19">
        <v>20.0</v>
      </c>
      <c r="C6" s="21" t="s">
        <v>852</v>
      </c>
      <c r="E6" s="21" t="s">
        <v>74</v>
      </c>
      <c r="F6" s="19">
        <v>90.0</v>
      </c>
      <c r="G6" s="21" t="s">
        <v>770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19</v>
      </c>
      <c r="B7" s="19">
        <v>90.0</v>
      </c>
      <c r="C7" s="21" t="s">
        <v>57</v>
      </c>
      <c r="E7" s="21" t="s">
        <v>673</v>
      </c>
      <c r="F7" s="19">
        <v>20.0</v>
      </c>
      <c r="G7" s="21" t="s">
        <v>674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39</v>
      </c>
      <c r="B8" s="19">
        <v>90.0</v>
      </c>
      <c r="C8" s="21" t="s">
        <v>161</v>
      </c>
      <c r="E8" s="21" t="s">
        <v>714</v>
      </c>
      <c r="F8" s="19">
        <v>40.0</v>
      </c>
      <c r="G8" s="21" t="s">
        <v>719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67</v>
      </c>
      <c r="B9" s="19">
        <v>-30.0</v>
      </c>
      <c r="C9" s="21" t="s">
        <v>852</v>
      </c>
      <c r="E9" s="21" t="s">
        <v>664</v>
      </c>
      <c r="F9" s="19">
        <v>20.0</v>
      </c>
      <c r="G9" s="21" t="s">
        <v>742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53</v>
      </c>
      <c r="B10" s="19">
        <v>90.0</v>
      </c>
      <c r="C10" s="21" t="s">
        <v>161</v>
      </c>
      <c r="E10" s="21" t="s">
        <v>213</v>
      </c>
      <c r="F10" s="19">
        <v>40.0</v>
      </c>
      <c r="G10" s="21" t="s">
        <v>685</v>
      </c>
      <c r="I10" s="11">
        <v>8.0</v>
      </c>
      <c r="J10" s="16" t="s">
        <v>208</v>
      </c>
      <c r="K10" s="16" t="s">
        <v>20</v>
      </c>
    </row>
    <row r="11" ht="14.25" customHeight="1">
      <c r="A11" s="21" t="s">
        <v>348</v>
      </c>
      <c r="B11" s="19">
        <v>90.0</v>
      </c>
      <c r="C11" s="21" t="s">
        <v>161</v>
      </c>
      <c r="E11" s="21" t="s">
        <v>37</v>
      </c>
      <c r="F11" s="19">
        <v>100.0</v>
      </c>
      <c r="G11" s="19" t="s">
        <v>810</v>
      </c>
      <c r="I11" s="11">
        <v>9.0</v>
      </c>
      <c r="J11" s="29" t="s">
        <v>348</v>
      </c>
      <c r="K11" s="16" t="s">
        <v>20</v>
      </c>
    </row>
    <row r="12" ht="14.25" customHeight="1">
      <c r="A12" s="21" t="s">
        <v>131</v>
      </c>
      <c r="B12" s="19">
        <v>40.0</v>
      </c>
      <c r="C12" s="21" t="s">
        <v>849</v>
      </c>
      <c r="E12" s="21" t="s">
        <v>815</v>
      </c>
      <c r="F12" s="19">
        <v>20.0</v>
      </c>
      <c r="G12" s="21" t="s">
        <v>816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584</v>
      </c>
      <c r="B13" s="19">
        <v>90.0</v>
      </c>
      <c r="C13" s="21" t="s">
        <v>161</v>
      </c>
      <c r="E13" s="21" t="s">
        <v>28</v>
      </c>
      <c r="F13" s="19">
        <v>60.0</v>
      </c>
      <c r="G13" s="21" t="s">
        <v>819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77</v>
      </c>
      <c r="B14" s="38">
        <v>-1050.0</v>
      </c>
      <c r="C14" s="34" t="s">
        <v>670</v>
      </c>
      <c r="E14" s="21" t="s">
        <v>718</v>
      </c>
      <c r="F14" s="19">
        <v>40.0</v>
      </c>
      <c r="G14" s="21" t="s">
        <v>867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42</v>
      </c>
      <c r="B15" s="19">
        <v>90.0</v>
      </c>
      <c r="C15" s="21" t="s">
        <v>161</v>
      </c>
      <c r="D15" s="39"/>
      <c r="E15" s="21" t="s">
        <v>126</v>
      </c>
      <c r="F15" s="19">
        <v>20.0</v>
      </c>
      <c r="G15" s="21" t="s">
        <v>863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26</v>
      </c>
      <c r="B16" s="19">
        <v>90.0</v>
      </c>
      <c r="C16" s="21" t="s">
        <v>71</v>
      </c>
      <c r="E16" s="21" t="s">
        <v>19</v>
      </c>
      <c r="F16" s="19">
        <v>90.0</v>
      </c>
      <c r="G16" s="21" t="s">
        <v>161</v>
      </c>
      <c r="I16" s="11">
        <v>14.0</v>
      </c>
      <c r="J16" s="21" t="s">
        <v>33</v>
      </c>
      <c r="K16" s="16" t="s">
        <v>20</v>
      </c>
    </row>
    <row r="17" ht="14.25" customHeight="1">
      <c r="A17" s="21" t="s">
        <v>872</v>
      </c>
      <c r="B17" s="19">
        <v>20.0</v>
      </c>
      <c r="C17" s="21" t="s">
        <v>863</v>
      </c>
      <c r="E17" s="21" t="s">
        <v>26</v>
      </c>
      <c r="F17" s="19">
        <v>180.0</v>
      </c>
      <c r="G17" s="21" t="s">
        <v>465</v>
      </c>
      <c r="I17" s="21"/>
      <c r="J17" s="21"/>
      <c r="K17" s="50"/>
    </row>
    <row r="18" ht="14.25" customHeight="1">
      <c r="A18" s="21" t="s">
        <v>356</v>
      </c>
      <c r="B18" s="19">
        <v>20.0</v>
      </c>
      <c r="C18" s="21" t="s">
        <v>863</v>
      </c>
    </row>
    <row r="19" ht="14.25" customHeight="1">
      <c r="A19" s="21" t="s">
        <v>208</v>
      </c>
      <c r="B19" s="19">
        <v>90.0</v>
      </c>
      <c r="C19" s="21" t="s">
        <v>161</v>
      </c>
    </row>
    <row r="20" ht="14.25" customHeight="1">
      <c r="A20" s="21" t="s">
        <v>408</v>
      </c>
      <c r="B20" s="19">
        <v>60.0</v>
      </c>
      <c r="C20" s="21" t="s">
        <v>875</v>
      </c>
      <c r="E20" s="21" t="s">
        <v>873</v>
      </c>
      <c r="F20" s="19">
        <v>20.0</v>
      </c>
      <c r="G20" s="21" t="s">
        <v>874</v>
      </c>
    </row>
    <row r="21" ht="14.25" customHeight="1">
      <c r="A21" s="21" t="s">
        <v>792</v>
      </c>
      <c r="B21" s="19">
        <v>-90.0</v>
      </c>
      <c r="C21" s="21" t="s">
        <v>876</v>
      </c>
      <c r="E21" s="21" t="s">
        <v>131</v>
      </c>
      <c r="F21" s="19">
        <v>20.0</v>
      </c>
      <c r="G21" s="21" t="s">
        <v>871</v>
      </c>
    </row>
    <row r="22" ht="14.25" customHeight="1">
      <c r="A22" s="21" t="s">
        <v>67</v>
      </c>
      <c r="B22" s="19">
        <v>-30.0</v>
      </c>
      <c r="C22" s="21" t="s">
        <v>863</v>
      </c>
    </row>
    <row r="23" ht="14.25" customHeight="1">
      <c r="A23" s="21" t="s">
        <v>723</v>
      </c>
      <c r="B23" s="19">
        <v>180.0</v>
      </c>
      <c r="C23" s="21" t="s">
        <v>465</v>
      </c>
    </row>
    <row r="24" ht="14.25" customHeight="1">
      <c r="A24" s="21" t="s">
        <v>33</v>
      </c>
      <c r="B24" s="19">
        <v>90.0</v>
      </c>
      <c r="C24" s="21" t="s">
        <v>161</v>
      </c>
    </row>
    <row r="25" ht="14.25" customHeight="1">
      <c r="A25" s="21" t="s">
        <v>116</v>
      </c>
      <c r="B25" s="19">
        <v>-30.0</v>
      </c>
      <c r="C25" s="21" t="s">
        <v>880</v>
      </c>
    </row>
    <row r="26" ht="14.25" customHeight="1">
      <c r="A26" s="21" t="s">
        <v>41</v>
      </c>
      <c r="B26" s="19">
        <v>40.0</v>
      </c>
      <c r="C26" s="21" t="s">
        <v>881</v>
      </c>
    </row>
    <row r="27" ht="14.25" customHeight="1">
      <c r="A27" s="21" t="s">
        <v>365</v>
      </c>
      <c r="B27" s="19">
        <v>90.0</v>
      </c>
      <c r="C27" s="21" t="s">
        <v>161</v>
      </c>
    </row>
    <row r="28" ht="14.25" customHeight="1">
      <c r="A28" s="21" t="s">
        <v>544</v>
      </c>
      <c r="B28" s="19">
        <v>90.0</v>
      </c>
      <c r="C28" s="21" t="s">
        <v>161</v>
      </c>
    </row>
    <row r="29" ht="14.25" customHeight="1">
      <c r="A29" s="21" t="s">
        <v>838</v>
      </c>
      <c r="B29" s="19">
        <v>20.0</v>
      </c>
      <c r="C29" s="21" t="s">
        <v>880</v>
      </c>
    </row>
    <row r="30" ht="14.25" customHeight="1">
      <c r="A30" s="21" t="s">
        <v>43</v>
      </c>
      <c r="B30" s="19">
        <v>90.0</v>
      </c>
      <c r="C30" s="21" t="s">
        <v>161</v>
      </c>
    </row>
    <row r="31" ht="14.25" customHeight="1">
      <c r="A31" s="21" t="s">
        <v>290</v>
      </c>
      <c r="B31" s="19">
        <v>20.0</v>
      </c>
      <c r="C31" s="21" t="s">
        <v>852</v>
      </c>
      <c r="E31" s="11" t="s">
        <v>46</v>
      </c>
      <c r="F31" s="12">
        <f>SUM(F3:F22)</f>
        <v>940.003</v>
      </c>
    </row>
    <row r="32" ht="14.25" customHeight="1">
      <c r="A32" s="21" t="s">
        <v>131</v>
      </c>
      <c r="B32" s="19">
        <v>40.0</v>
      </c>
      <c r="C32" s="21" t="s">
        <v>885</v>
      </c>
    </row>
    <row r="33" ht="14.25" customHeight="1">
      <c r="A33" s="21" t="s">
        <v>67</v>
      </c>
      <c r="B33" s="19">
        <v>-30.0</v>
      </c>
      <c r="C33" s="25" t="s">
        <v>886</v>
      </c>
    </row>
    <row r="34" ht="14.25" customHeight="1">
      <c r="A34" s="21" t="s">
        <v>65</v>
      </c>
      <c r="B34" s="19">
        <v>20.0</v>
      </c>
      <c r="C34" s="25" t="s">
        <v>886</v>
      </c>
    </row>
    <row r="35" ht="14.25" customHeight="1">
      <c r="A35" s="21" t="s">
        <v>97</v>
      </c>
      <c r="B35" s="19">
        <v>90.0</v>
      </c>
      <c r="C35" s="21" t="s">
        <v>161</v>
      </c>
    </row>
    <row r="36" ht="14.25" customHeight="1">
      <c r="A36" s="21" t="s">
        <v>100</v>
      </c>
      <c r="B36" s="19">
        <v>60.0</v>
      </c>
      <c r="C36" s="21" t="s">
        <v>887</v>
      </c>
    </row>
    <row r="37" ht="14.25" customHeight="1">
      <c r="A37" s="21" t="s">
        <v>838</v>
      </c>
      <c r="B37" s="19">
        <v>20.0</v>
      </c>
      <c r="C37" s="21" t="s">
        <v>888</v>
      </c>
    </row>
    <row r="38" ht="14.25" customHeight="1">
      <c r="A38" s="21" t="s">
        <v>838</v>
      </c>
      <c r="B38" s="19">
        <v>20.0</v>
      </c>
      <c r="C38" s="25" t="s">
        <v>889</v>
      </c>
    </row>
    <row r="39" ht="14.25" customHeight="1">
      <c r="A39" s="21" t="s">
        <v>890</v>
      </c>
      <c r="B39" s="19">
        <v>20.0</v>
      </c>
      <c r="C39" s="21" t="s">
        <v>889</v>
      </c>
    </row>
    <row r="40" ht="14.25" customHeight="1">
      <c r="A40" s="21" t="s">
        <v>891</v>
      </c>
      <c r="B40" s="19">
        <v>20.0</v>
      </c>
      <c r="C40" s="21" t="s">
        <v>726</v>
      </c>
      <c r="L40" s="47" t="s">
        <v>298</v>
      </c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1092.15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/>
      <c r="B1" s="2"/>
      <c r="C1" s="3"/>
      <c r="E1" s="4" t="s">
        <v>1</v>
      </c>
      <c r="F1" s="2"/>
      <c r="G1" s="3"/>
      <c r="I1" s="1" t="s">
        <v>159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1092.1500000000003</v>
      </c>
      <c r="C3" s="14" t="s">
        <v>607</v>
      </c>
      <c r="E3" s="21" t="s">
        <v>17</v>
      </c>
      <c r="F3" s="19">
        <v>100.0</v>
      </c>
      <c r="G3" s="21" t="s">
        <v>842</v>
      </c>
      <c r="I3" s="11">
        <v>1.0</v>
      </c>
      <c r="J3" s="11" t="s">
        <v>19</v>
      </c>
      <c r="K3" s="16"/>
    </row>
    <row r="4" ht="14.25" customHeight="1">
      <c r="A4" s="21" t="s">
        <v>42</v>
      </c>
      <c r="B4" s="19">
        <v>90.0</v>
      </c>
      <c r="C4" s="21" t="s">
        <v>188</v>
      </c>
      <c r="E4" s="21" t="s">
        <v>500</v>
      </c>
      <c r="F4" s="19">
        <v>60.003</v>
      </c>
      <c r="G4" s="21" t="s">
        <v>648</v>
      </c>
      <c r="I4" s="11">
        <v>2.0</v>
      </c>
      <c r="J4" s="11" t="s">
        <v>26</v>
      </c>
      <c r="K4" s="16" t="s">
        <v>20</v>
      </c>
    </row>
    <row r="5" ht="14.25" customHeight="1">
      <c r="A5" s="21" t="s">
        <v>53</v>
      </c>
      <c r="B5" s="19">
        <v>90.0</v>
      </c>
      <c r="C5" s="21" t="s">
        <v>188</v>
      </c>
      <c r="E5" s="21" t="s">
        <v>555</v>
      </c>
      <c r="F5" s="19">
        <v>20.0</v>
      </c>
      <c r="G5" s="97" t="s">
        <v>556</v>
      </c>
      <c r="I5" s="11">
        <v>3.0</v>
      </c>
      <c r="J5" s="16" t="s">
        <v>723</v>
      </c>
      <c r="K5" s="16"/>
    </row>
    <row r="6" ht="14.25" customHeight="1">
      <c r="A6" s="21" t="s">
        <v>39</v>
      </c>
      <c r="B6" s="19">
        <v>90.0</v>
      </c>
      <c r="C6" s="21" t="s">
        <v>188</v>
      </c>
      <c r="E6" s="21" t="s">
        <v>74</v>
      </c>
      <c r="F6" s="19">
        <v>90.0</v>
      </c>
      <c r="G6" s="21" t="s">
        <v>770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348</v>
      </c>
      <c r="B7" s="19">
        <v>90.0</v>
      </c>
      <c r="C7" s="21" t="s">
        <v>188</v>
      </c>
      <c r="E7" s="21" t="s">
        <v>673</v>
      </c>
      <c r="F7" s="19">
        <v>20.0</v>
      </c>
      <c r="G7" s="21" t="s">
        <v>674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21</v>
      </c>
      <c r="B8" s="19">
        <v>-279.98</v>
      </c>
      <c r="C8" s="21" t="s">
        <v>862</v>
      </c>
      <c r="E8" s="21" t="s">
        <v>714</v>
      </c>
      <c r="F8" s="19">
        <v>40.0</v>
      </c>
      <c r="G8" s="21" t="s">
        <v>719</v>
      </c>
      <c r="I8" s="11">
        <v>6.0</v>
      </c>
      <c r="J8" s="16" t="s">
        <v>43</v>
      </c>
      <c r="K8" s="16" t="s">
        <v>20</v>
      </c>
    </row>
    <row r="9" ht="14.25" customHeight="1">
      <c r="A9" s="21" t="s">
        <v>126</v>
      </c>
      <c r="B9" s="19">
        <v>20.0</v>
      </c>
      <c r="C9" s="21" t="s">
        <v>863</v>
      </c>
      <c r="E9" s="21" t="s">
        <v>664</v>
      </c>
      <c r="F9" s="19">
        <v>20.0</v>
      </c>
      <c r="G9" s="21" t="s">
        <v>742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864</v>
      </c>
      <c r="B10" s="19">
        <v>90.0</v>
      </c>
      <c r="C10" s="21" t="s">
        <v>57</v>
      </c>
      <c r="E10" s="21" t="s">
        <v>213</v>
      </c>
      <c r="F10" s="19">
        <v>40.0</v>
      </c>
      <c r="G10" s="21" t="s">
        <v>685</v>
      </c>
      <c r="I10" s="11">
        <v>8.0</v>
      </c>
      <c r="J10" s="16" t="s">
        <v>865</v>
      </c>
      <c r="K10" s="16" t="s">
        <v>20</v>
      </c>
    </row>
    <row r="11" ht="14.25" customHeight="1">
      <c r="A11" s="21" t="s">
        <v>33</v>
      </c>
      <c r="B11" s="19">
        <v>90.0</v>
      </c>
      <c r="C11" s="21" t="s">
        <v>188</v>
      </c>
      <c r="E11" s="21" t="s">
        <v>37</v>
      </c>
      <c r="F11" s="19">
        <v>100.0</v>
      </c>
      <c r="G11" s="19" t="s">
        <v>810</v>
      </c>
      <c r="I11" s="11">
        <v>9.0</v>
      </c>
      <c r="J11" s="29" t="s">
        <v>348</v>
      </c>
      <c r="K11" s="16" t="s">
        <v>20</v>
      </c>
    </row>
    <row r="12" ht="14.25" customHeight="1">
      <c r="A12" s="21" t="s">
        <v>19</v>
      </c>
      <c r="B12" s="19">
        <v>230.0</v>
      </c>
      <c r="C12" s="21" t="s">
        <v>866</v>
      </c>
      <c r="E12" s="21" t="s">
        <v>815</v>
      </c>
      <c r="F12" s="19">
        <v>20.0</v>
      </c>
      <c r="G12" s="21" t="s">
        <v>816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356</v>
      </c>
      <c r="B13" s="19">
        <v>20.0</v>
      </c>
      <c r="C13" s="21" t="s">
        <v>868</v>
      </c>
      <c r="E13" s="21" t="s">
        <v>28</v>
      </c>
      <c r="F13" s="19">
        <v>60.0</v>
      </c>
      <c r="G13" s="21" t="s">
        <v>819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869</v>
      </c>
      <c r="B14" s="38">
        <v>-1050.0</v>
      </c>
      <c r="C14" s="34" t="s">
        <v>870</v>
      </c>
      <c r="E14" s="21" t="s">
        <v>718</v>
      </c>
      <c r="F14" s="19">
        <v>40.0</v>
      </c>
      <c r="G14" s="21" t="s">
        <v>867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131</v>
      </c>
      <c r="B15" s="19">
        <v>20.0</v>
      </c>
      <c r="C15" s="21" t="s">
        <v>871</v>
      </c>
      <c r="D15" s="39"/>
      <c r="E15" s="21" t="s">
        <v>873</v>
      </c>
      <c r="F15" s="19">
        <v>20.0</v>
      </c>
      <c r="G15" s="21" t="s">
        <v>874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116</v>
      </c>
      <c r="B16" s="19">
        <v>-30.0</v>
      </c>
      <c r="C16" s="21" t="s">
        <v>868</v>
      </c>
      <c r="E16" s="21" t="s">
        <v>723</v>
      </c>
      <c r="F16" s="19">
        <v>90.0</v>
      </c>
      <c r="G16" s="21" t="s">
        <v>188</v>
      </c>
      <c r="I16" s="11">
        <v>14.0</v>
      </c>
      <c r="J16" s="21" t="s">
        <v>33</v>
      </c>
      <c r="K16" s="16" t="s">
        <v>20</v>
      </c>
    </row>
    <row r="17" ht="14.25" customHeight="1">
      <c r="A17" s="21" t="s">
        <v>792</v>
      </c>
      <c r="B17" s="19">
        <v>-30.0</v>
      </c>
      <c r="C17" s="21" t="s">
        <v>868</v>
      </c>
      <c r="E17" s="21" t="s">
        <v>19</v>
      </c>
      <c r="F17" s="19">
        <v>90.0</v>
      </c>
      <c r="G17" s="21" t="s">
        <v>188</v>
      </c>
      <c r="I17" s="21">
        <v>15.0</v>
      </c>
      <c r="J17" s="21" t="s">
        <v>100</v>
      </c>
      <c r="K17" s="16" t="s">
        <v>20</v>
      </c>
    </row>
    <row r="18" ht="14.25" customHeight="1">
      <c r="A18" s="21" t="s">
        <v>26</v>
      </c>
      <c r="B18" s="19">
        <v>180.0</v>
      </c>
      <c r="C18" s="21" t="s">
        <v>252</v>
      </c>
      <c r="E18" s="21" t="s">
        <v>131</v>
      </c>
      <c r="F18" s="19">
        <v>20.0</v>
      </c>
      <c r="G18" s="21" t="s">
        <v>877</v>
      </c>
    </row>
    <row r="19" ht="14.25" customHeight="1">
      <c r="A19" s="21" t="s">
        <v>878</v>
      </c>
      <c r="B19" s="19">
        <v>-120.0</v>
      </c>
      <c r="C19" s="21" t="s">
        <v>364</v>
      </c>
      <c r="E19" s="21" t="s">
        <v>356</v>
      </c>
      <c r="F19" s="19">
        <v>20.0</v>
      </c>
      <c r="G19" s="21" t="s">
        <v>877</v>
      </c>
    </row>
    <row r="20" ht="14.25" customHeight="1">
      <c r="A20" s="21" t="s">
        <v>879</v>
      </c>
      <c r="B20" s="19">
        <v>-60.0</v>
      </c>
      <c r="C20" s="21" t="s">
        <v>567</v>
      </c>
      <c r="E20" s="21"/>
      <c r="F20" s="19"/>
      <c r="G20" s="21"/>
    </row>
    <row r="21" ht="14.25" customHeight="1">
      <c r="A21" s="21" t="s">
        <v>792</v>
      </c>
      <c r="B21" s="19">
        <v>-30.0</v>
      </c>
      <c r="C21" s="21" t="s">
        <v>882</v>
      </c>
    </row>
    <row r="22" ht="14.25" customHeight="1">
      <c r="A22" s="21" t="s">
        <v>365</v>
      </c>
      <c r="B22" s="19">
        <v>90.0</v>
      </c>
      <c r="C22" s="21" t="s">
        <v>188</v>
      </c>
    </row>
    <row r="23" ht="14.25" customHeight="1">
      <c r="A23" s="21" t="s">
        <v>544</v>
      </c>
      <c r="B23" s="19">
        <v>90.0</v>
      </c>
      <c r="C23" s="21" t="s">
        <v>188</v>
      </c>
    </row>
    <row r="24" ht="14.25" customHeight="1">
      <c r="A24" s="25" t="s">
        <v>883</v>
      </c>
      <c r="B24" s="109">
        <v>180.0</v>
      </c>
      <c r="C24" s="104" t="s">
        <v>188</v>
      </c>
    </row>
    <row r="25" ht="14.25" customHeight="1">
      <c r="A25" s="21" t="s">
        <v>60</v>
      </c>
      <c r="B25" s="19">
        <v>90.0</v>
      </c>
      <c r="C25" s="21" t="s">
        <v>188</v>
      </c>
    </row>
    <row r="26" ht="14.25" customHeight="1">
      <c r="A26" s="21" t="s">
        <v>43</v>
      </c>
      <c r="B26" s="19">
        <v>90.0</v>
      </c>
      <c r="C26" s="21" t="s">
        <v>188</v>
      </c>
    </row>
    <row r="27" ht="14.25" customHeight="1">
      <c r="A27" s="21" t="s">
        <v>865</v>
      </c>
      <c r="B27" s="19">
        <v>90.0</v>
      </c>
      <c r="C27" s="21" t="s">
        <v>188</v>
      </c>
    </row>
    <row r="28" ht="14.25" customHeight="1">
      <c r="A28" s="21" t="s">
        <v>126</v>
      </c>
      <c r="B28" s="19">
        <v>40.0</v>
      </c>
      <c r="C28" s="21" t="s">
        <v>884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  <c r="E31" s="11" t="s">
        <v>46</v>
      </c>
      <c r="F31" s="12">
        <f>SUM(F3:F21)</f>
        <v>850.003</v>
      </c>
    </row>
    <row r="32" ht="14.25" customHeight="1">
      <c r="A32" s="21"/>
      <c r="B32" s="19"/>
      <c r="C32" s="21"/>
    </row>
    <row r="33" ht="14.25" customHeight="1">
      <c r="A33" s="21"/>
      <c r="B33" s="19"/>
      <c r="C33" s="25"/>
    </row>
    <row r="34" ht="14.25" customHeight="1">
      <c r="A34" s="21"/>
      <c r="B34" s="19"/>
      <c r="C34" s="25"/>
    </row>
    <row r="35" ht="14.25" customHeight="1">
      <c r="A35" s="21"/>
      <c r="B35" s="19"/>
      <c r="C35" s="21"/>
    </row>
    <row r="36" ht="14.25" customHeight="1">
      <c r="A36" s="21"/>
      <c r="B36" s="19"/>
      <c r="C36" s="21"/>
    </row>
    <row r="37" ht="14.25" customHeight="1">
      <c r="A37" s="21"/>
      <c r="B37" s="19"/>
      <c r="C37" s="21"/>
    </row>
    <row r="38" ht="14.25" customHeight="1">
      <c r="A38" s="21"/>
      <c r="B38" s="19"/>
      <c r="C38" s="25"/>
    </row>
    <row r="39" ht="14.25" customHeight="1">
      <c r="A39" s="21"/>
      <c r="B39" s="19"/>
      <c r="C39" s="21"/>
    </row>
    <row r="40" ht="14.25" customHeight="1">
      <c r="A40" s="21"/>
      <c r="B40" s="19"/>
      <c r="C40" s="21"/>
      <c r="L40" s="47" t="s">
        <v>298</v>
      </c>
    </row>
    <row r="41" ht="14.25" customHeight="1">
      <c r="A41" s="21"/>
      <c r="B41" s="19"/>
      <c r="C41" s="21"/>
    </row>
    <row r="42" ht="14.25" customHeight="1">
      <c r="A42" s="21"/>
      <c r="B42" s="19"/>
      <c r="C42" s="21"/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1172.17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/>
      <c r="B1" s="2"/>
      <c r="C1" s="3"/>
      <c r="E1" s="4" t="s">
        <v>1</v>
      </c>
      <c r="F1" s="2"/>
      <c r="G1" s="3"/>
      <c r="I1" s="1" t="s">
        <v>192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52">
        <v>1172.1700000000003</v>
      </c>
      <c r="C3" s="14" t="s">
        <v>607</v>
      </c>
      <c r="E3" s="21" t="s">
        <v>213</v>
      </c>
      <c r="F3" s="19">
        <v>40.0</v>
      </c>
      <c r="G3" s="21" t="s">
        <v>685</v>
      </c>
      <c r="I3" s="11">
        <v>1.0</v>
      </c>
      <c r="J3" s="11" t="s">
        <v>19</v>
      </c>
      <c r="K3" s="16"/>
    </row>
    <row r="4" ht="14.25" customHeight="1">
      <c r="A4" s="21" t="s">
        <v>131</v>
      </c>
      <c r="B4" s="19">
        <v>20.0</v>
      </c>
      <c r="C4" s="21" t="s">
        <v>877</v>
      </c>
      <c r="E4" s="21" t="s">
        <v>37</v>
      </c>
      <c r="F4" s="19">
        <v>100.0</v>
      </c>
      <c r="G4" s="19" t="s">
        <v>810</v>
      </c>
      <c r="I4" s="11">
        <v>2.0</v>
      </c>
      <c r="J4" s="11" t="s">
        <v>26</v>
      </c>
      <c r="K4" s="16"/>
    </row>
    <row r="5" ht="14.25" customHeight="1">
      <c r="A5" s="21" t="s">
        <v>356</v>
      </c>
      <c r="B5" s="19">
        <v>20.0</v>
      </c>
      <c r="C5" s="21" t="s">
        <v>877</v>
      </c>
      <c r="E5" s="21" t="s">
        <v>815</v>
      </c>
      <c r="F5" s="19">
        <v>20.0</v>
      </c>
      <c r="G5" s="21" t="s">
        <v>816</v>
      </c>
      <c r="I5" s="11">
        <v>3.0</v>
      </c>
      <c r="J5" s="16" t="s">
        <v>723</v>
      </c>
      <c r="K5" s="16"/>
    </row>
    <row r="6" ht="14.25" customHeight="1">
      <c r="A6" s="21" t="s">
        <v>19</v>
      </c>
      <c r="B6" s="19">
        <v>90.0</v>
      </c>
      <c r="C6" s="21" t="s">
        <v>188</v>
      </c>
      <c r="E6" s="21" t="s">
        <v>28</v>
      </c>
      <c r="F6" s="19">
        <v>60.0</v>
      </c>
      <c r="G6" s="21" t="s">
        <v>819</v>
      </c>
      <c r="I6" s="11">
        <v>4.0</v>
      </c>
      <c r="J6" s="16" t="s">
        <v>365</v>
      </c>
      <c r="K6" s="16" t="s">
        <v>20</v>
      </c>
    </row>
    <row r="7" ht="14.25" customHeight="1">
      <c r="A7" s="21" t="s">
        <v>292</v>
      </c>
      <c r="B7" s="19">
        <v>20.0</v>
      </c>
      <c r="C7" s="21" t="s">
        <v>892</v>
      </c>
      <c r="E7" s="21" t="s">
        <v>718</v>
      </c>
      <c r="F7" s="19">
        <v>40.0</v>
      </c>
      <c r="G7" s="21" t="s">
        <v>867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139</v>
      </c>
      <c r="B8" s="19">
        <v>-30.0</v>
      </c>
      <c r="C8" s="21" t="s">
        <v>892</v>
      </c>
      <c r="E8" s="21" t="s">
        <v>873</v>
      </c>
      <c r="F8" s="19">
        <v>20.0</v>
      </c>
      <c r="G8" s="21" t="s">
        <v>874</v>
      </c>
      <c r="I8" s="11">
        <v>6.0</v>
      </c>
      <c r="J8" s="16" t="s">
        <v>43</v>
      </c>
      <c r="K8" s="16"/>
    </row>
    <row r="9" ht="14.25" customHeight="1">
      <c r="A9" s="21" t="s">
        <v>339</v>
      </c>
      <c r="B9" s="19">
        <v>-30.0</v>
      </c>
      <c r="C9" s="21" t="s">
        <v>892</v>
      </c>
      <c r="E9" s="21" t="s">
        <v>723</v>
      </c>
      <c r="F9" s="19">
        <v>180.0</v>
      </c>
      <c r="G9" s="21" t="s">
        <v>494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39</v>
      </c>
      <c r="B10" s="19">
        <v>90.0</v>
      </c>
      <c r="C10" s="21" t="s">
        <v>211</v>
      </c>
      <c r="E10" s="21" t="s">
        <v>180</v>
      </c>
      <c r="F10" s="19">
        <v>60.0</v>
      </c>
      <c r="G10" s="21" t="s">
        <v>893</v>
      </c>
      <c r="I10" s="11">
        <v>8.0</v>
      </c>
      <c r="J10" s="16" t="s">
        <v>865</v>
      </c>
      <c r="K10" s="16" t="s">
        <v>20</v>
      </c>
    </row>
    <row r="11" ht="14.25" customHeight="1">
      <c r="A11" s="21" t="s">
        <v>53</v>
      </c>
      <c r="B11" s="19">
        <v>90.0</v>
      </c>
      <c r="C11" s="21" t="s">
        <v>211</v>
      </c>
      <c r="E11" s="21" t="s">
        <v>19</v>
      </c>
      <c r="F11" s="19">
        <v>90.0</v>
      </c>
      <c r="G11" s="21" t="s">
        <v>211</v>
      </c>
      <c r="I11" s="11">
        <v>9.0</v>
      </c>
      <c r="J11" s="21" t="s">
        <v>100</v>
      </c>
      <c r="K11" s="16" t="s">
        <v>20</v>
      </c>
    </row>
    <row r="12" ht="14.25" customHeight="1">
      <c r="A12" s="21" t="s">
        <v>42</v>
      </c>
      <c r="B12" s="19">
        <v>90.0</v>
      </c>
      <c r="C12" s="21" t="s">
        <v>211</v>
      </c>
      <c r="E12" s="21" t="s">
        <v>864</v>
      </c>
      <c r="F12" s="19">
        <v>90.0</v>
      </c>
      <c r="G12" s="21" t="s">
        <v>211</v>
      </c>
      <c r="I12" s="11">
        <v>10.0</v>
      </c>
      <c r="J12" s="16" t="s">
        <v>60</v>
      </c>
      <c r="K12" s="16" t="s">
        <v>20</v>
      </c>
    </row>
    <row r="13" ht="14.25" customHeight="1">
      <c r="A13" s="21" t="s">
        <v>838</v>
      </c>
      <c r="B13" s="19">
        <v>20.0</v>
      </c>
      <c r="C13" s="21" t="s">
        <v>892</v>
      </c>
      <c r="E13" s="21" t="s">
        <v>33</v>
      </c>
      <c r="F13" s="19">
        <v>90.0</v>
      </c>
      <c r="G13" s="21" t="s">
        <v>211</v>
      </c>
      <c r="I13" s="11">
        <v>11.0</v>
      </c>
      <c r="J13" s="20" t="s">
        <v>97</v>
      </c>
      <c r="K13" s="16" t="s">
        <v>20</v>
      </c>
    </row>
    <row r="14" ht="14.25" customHeight="1">
      <c r="A14" s="34" t="s">
        <v>869</v>
      </c>
      <c r="B14" s="38">
        <v>-1050.0</v>
      </c>
      <c r="C14" s="34" t="s">
        <v>870</v>
      </c>
      <c r="E14" s="21" t="s">
        <v>894</v>
      </c>
      <c r="F14" s="19">
        <v>40.0</v>
      </c>
      <c r="G14" s="21" t="s">
        <v>895</v>
      </c>
      <c r="I14" s="11">
        <v>12.0</v>
      </c>
      <c r="J14" s="11" t="s">
        <v>42</v>
      </c>
      <c r="K14" s="16" t="s">
        <v>20</v>
      </c>
    </row>
    <row r="15" ht="14.25" customHeight="1">
      <c r="A15" s="21" t="s">
        <v>116</v>
      </c>
      <c r="B15" s="19">
        <v>-30.0</v>
      </c>
      <c r="C15" s="21" t="s">
        <v>896</v>
      </c>
      <c r="D15" s="39"/>
      <c r="E15" s="21" t="s">
        <v>43</v>
      </c>
      <c r="F15" s="19">
        <v>90.0</v>
      </c>
      <c r="G15" s="21" t="s">
        <v>211</v>
      </c>
      <c r="I15" s="11">
        <v>13.0</v>
      </c>
      <c r="J15" s="16" t="s">
        <v>544</v>
      </c>
      <c r="K15" s="16" t="s">
        <v>20</v>
      </c>
    </row>
    <row r="16" ht="14.25" customHeight="1">
      <c r="A16" s="21" t="s">
        <v>126</v>
      </c>
      <c r="B16" s="19">
        <v>40.0</v>
      </c>
      <c r="C16" s="21" t="s">
        <v>897</v>
      </c>
      <c r="E16" s="21" t="s">
        <v>838</v>
      </c>
      <c r="F16" s="19">
        <v>20.0</v>
      </c>
      <c r="G16" s="21" t="s">
        <v>898</v>
      </c>
      <c r="I16" s="11">
        <v>14.0</v>
      </c>
      <c r="J16" s="21" t="s">
        <v>33</v>
      </c>
      <c r="K16" s="16"/>
    </row>
    <row r="17" ht="14.25" customHeight="1">
      <c r="A17" s="21" t="s">
        <v>365</v>
      </c>
      <c r="B17" s="19">
        <v>90.0</v>
      </c>
      <c r="C17" s="21" t="s">
        <v>211</v>
      </c>
      <c r="E17" s="21" t="s">
        <v>126</v>
      </c>
      <c r="F17" s="19">
        <v>20.0</v>
      </c>
      <c r="G17" s="21" t="s">
        <v>898</v>
      </c>
      <c r="I17" s="47"/>
      <c r="K17" s="110"/>
    </row>
    <row r="18" ht="14.25" customHeight="1">
      <c r="A18" s="21" t="s">
        <v>899</v>
      </c>
      <c r="B18" s="19">
        <v>-30.0</v>
      </c>
      <c r="C18" s="21" t="s">
        <v>715</v>
      </c>
      <c r="E18" s="21" t="s">
        <v>261</v>
      </c>
      <c r="F18" s="19">
        <v>20.0</v>
      </c>
      <c r="G18" s="21" t="s">
        <v>898</v>
      </c>
    </row>
    <row r="19" ht="14.25" customHeight="1">
      <c r="A19" s="21" t="s">
        <v>65</v>
      </c>
      <c r="B19" s="19">
        <v>-30.0</v>
      </c>
      <c r="C19" s="21" t="s">
        <v>715</v>
      </c>
    </row>
    <row r="20" ht="14.25" customHeight="1">
      <c r="A20" s="21" t="s">
        <v>69</v>
      </c>
      <c r="B20" s="19">
        <v>-204.0</v>
      </c>
      <c r="C20" s="21" t="s">
        <v>364</v>
      </c>
    </row>
    <row r="21" ht="14.25" customHeight="1">
      <c r="A21" s="21" t="s">
        <v>838</v>
      </c>
      <c r="B21" s="19">
        <v>20.0</v>
      </c>
      <c r="C21" s="21" t="s">
        <v>896</v>
      </c>
    </row>
    <row r="22" ht="14.25" customHeight="1">
      <c r="A22" s="21" t="s">
        <v>865</v>
      </c>
      <c r="B22" s="19">
        <v>90.0</v>
      </c>
      <c r="C22" s="21" t="s">
        <v>211</v>
      </c>
    </row>
    <row r="23" ht="14.25" customHeight="1">
      <c r="A23" s="21" t="s">
        <v>97</v>
      </c>
      <c r="B23" s="19">
        <v>90.0</v>
      </c>
      <c r="C23" s="21" t="s">
        <v>211</v>
      </c>
    </row>
    <row r="24" ht="14.25" customHeight="1">
      <c r="A24" s="21" t="s">
        <v>100</v>
      </c>
      <c r="B24" s="19">
        <v>90.0</v>
      </c>
      <c r="C24" s="21" t="s">
        <v>211</v>
      </c>
      <c r="E24" s="11" t="s">
        <v>46</v>
      </c>
      <c r="F24" s="12">
        <f>SUM(F3:F12)</f>
        <v>700</v>
      </c>
    </row>
    <row r="25" ht="14.25" customHeight="1">
      <c r="A25" s="21" t="s">
        <v>65</v>
      </c>
      <c r="B25" s="19">
        <v>-30.0</v>
      </c>
      <c r="C25" s="21" t="s">
        <v>710</v>
      </c>
    </row>
    <row r="26" ht="14.25" customHeight="1">
      <c r="A26" s="21" t="s">
        <v>544</v>
      </c>
      <c r="B26" s="19">
        <v>90.0</v>
      </c>
      <c r="C26" s="21" t="s">
        <v>211</v>
      </c>
    </row>
    <row r="27" ht="14.25" customHeight="1">
      <c r="A27" s="21" t="s">
        <v>60</v>
      </c>
      <c r="B27" s="19">
        <v>90.0</v>
      </c>
      <c r="C27" s="21" t="s">
        <v>211</v>
      </c>
    </row>
    <row r="28" ht="14.25" customHeight="1">
      <c r="A28" s="21" t="s">
        <v>899</v>
      </c>
      <c r="B28" s="19">
        <v>-30.0</v>
      </c>
      <c r="C28" s="21" t="s">
        <v>898</v>
      </c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5"/>
    </row>
    <row r="34" ht="14.25" customHeight="1">
      <c r="A34" s="21"/>
      <c r="B34" s="19"/>
      <c r="C34" s="25"/>
    </row>
    <row r="35" ht="14.25" customHeight="1">
      <c r="A35" s="21"/>
      <c r="B35" s="19"/>
      <c r="C35" s="21"/>
    </row>
    <row r="36" ht="14.25" customHeight="1">
      <c r="A36" s="21"/>
      <c r="B36" s="19"/>
      <c r="C36" s="21"/>
      <c r="E36" s="21" t="s">
        <v>17</v>
      </c>
      <c r="F36" s="19">
        <v>100.0</v>
      </c>
      <c r="G36" s="21" t="s">
        <v>842</v>
      </c>
    </row>
    <row r="37" ht="14.25" customHeight="1">
      <c r="A37" s="21"/>
      <c r="B37" s="19"/>
      <c r="C37" s="21"/>
      <c r="E37" s="21" t="s">
        <v>500</v>
      </c>
      <c r="F37" s="19">
        <v>60.003</v>
      </c>
      <c r="G37" s="21" t="s">
        <v>648</v>
      </c>
    </row>
    <row r="38" ht="14.25" customHeight="1">
      <c r="A38" s="21"/>
      <c r="B38" s="19"/>
      <c r="C38" s="25"/>
      <c r="E38" s="21" t="s">
        <v>555</v>
      </c>
      <c r="F38" s="19">
        <v>20.0</v>
      </c>
      <c r="G38" s="97" t="s">
        <v>556</v>
      </c>
    </row>
    <row r="39" ht="14.25" customHeight="1">
      <c r="A39" s="21"/>
      <c r="B39" s="19"/>
      <c r="C39" s="21"/>
      <c r="E39" s="21" t="s">
        <v>74</v>
      </c>
      <c r="F39" s="19">
        <v>90.0</v>
      </c>
      <c r="G39" s="21" t="s">
        <v>770</v>
      </c>
    </row>
    <row r="40" ht="14.25" customHeight="1">
      <c r="A40" s="21"/>
      <c r="B40" s="19"/>
      <c r="C40" s="21"/>
      <c r="E40" s="21" t="s">
        <v>673</v>
      </c>
      <c r="F40" s="19">
        <v>20.0</v>
      </c>
      <c r="G40" s="21" t="s">
        <v>674</v>
      </c>
      <c r="L40" s="47" t="s">
        <v>298</v>
      </c>
    </row>
    <row r="41" ht="14.25" customHeight="1">
      <c r="A41" s="21"/>
      <c r="B41" s="19"/>
      <c r="C41" s="21"/>
      <c r="E41" s="21" t="s">
        <v>714</v>
      </c>
      <c r="F41" s="19">
        <v>40.0</v>
      </c>
      <c r="G41" s="21" t="s">
        <v>719</v>
      </c>
    </row>
    <row r="42" ht="14.25" customHeight="1">
      <c r="A42" s="21"/>
      <c r="B42" s="19"/>
      <c r="C42" s="21"/>
      <c r="E42" s="21" t="s">
        <v>664</v>
      </c>
      <c r="F42" s="19">
        <v>20.0</v>
      </c>
      <c r="G42" s="21" t="s">
        <v>742</v>
      </c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748.17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.86"/>
    <col customWidth="1" min="3" max="3" width="68.0"/>
    <col customWidth="1" min="4" max="4" width="5.0"/>
    <col customWidth="1" min="5" max="5" width="20.0"/>
    <col customWidth="1" min="6" max="6" width="11.86"/>
    <col customWidth="1" min="7" max="7" width="68.0"/>
    <col customWidth="1" min="8" max="8" width="6.43"/>
    <col customWidth="1" min="9" max="9" width="15.71"/>
    <col customWidth="1" min="10" max="10" width="16.71"/>
    <col customWidth="1" min="11" max="11" width="14.29"/>
    <col customWidth="1" min="12" max="26" width="8.71"/>
  </cols>
  <sheetData>
    <row r="1" ht="14.25" customHeight="1">
      <c r="A1" s="1"/>
      <c r="B1" s="2"/>
      <c r="C1" s="3"/>
      <c r="E1" s="4" t="s">
        <v>1</v>
      </c>
      <c r="F1" s="2"/>
      <c r="G1" s="3"/>
      <c r="I1" s="1" t="s">
        <v>194</v>
      </c>
      <c r="J1" s="2"/>
      <c r="K1" s="3"/>
    </row>
    <row r="2" ht="14.25" customHeight="1">
      <c r="A2" s="6" t="s">
        <v>4</v>
      </c>
      <c r="B2" s="7" t="s">
        <v>5</v>
      </c>
      <c r="C2" s="6" t="s">
        <v>6</v>
      </c>
      <c r="E2" s="6" t="s">
        <v>4</v>
      </c>
      <c r="F2" s="7" t="s">
        <v>5</v>
      </c>
      <c r="G2" s="6" t="s">
        <v>9</v>
      </c>
      <c r="I2" s="8"/>
      <c r="J2" s="8" t="s">
        <v>4</v>
      </c>
      <c r="K2" s="8" t="s">
        <v>12</v>
      </c>
    </row>
    <row r="3" ht="14.25" customHeight="1">
      <c r="A3" s="9" t="s">
        <v>13</v>
      </c>
      <c r="B3" s="95">
        <v>748.17</v>
      </c>
      <c r="C3" s="14" t="s">
        <v>607</v>
      </c>
      <c r="E3" s="21" t="s">
        <v>213</v>
      </c>
      <c r="F3" s="19">
        <v>40.0</v>
      </c>
      <c r="G3" s="21" t="s">
        <v>685</v>
      </c>
      <c r="I3" s="11">
        <v>1.0</v>
      </c>
      <c r="J3" s="11" t="s">
        <v>19</v>
      </c>
      <c r="K3" s="16"/>
    </row>
    <row r="4" ht="14.25" customHeight="1">
      <c r="A4" s="21" t="s">
        <v>53</v>
      </c>
      <c r="B4" s="19">
        <v>90.0</v>
      </c>
      <c r="C4" s="21" t="s">
        <v>202</v>
      </c>
      <c r="E4" s="21" t="s">
        <v>37</v>
      </c>
      <c r="F4" s="19">
        <v>100.0</v>
      </c>
      <c r="G4" s="19" t="s">
        <v>810</v>
      </c>
      <c r="I4" s="11">
        <v>2.0</v>
      </c>
      <c r="J4" s="11" t="s">
        <v>26</v>
      </c>
      <c r="K4" s="16"/>
    </row>
    <row r="5" ht="14.25" customHeight="1">
      <c r="A5" s="21" t="s">
        <v>43</v>
      </c>
      <c r="B5" s="19">
        <v>90.0</v>
      </c>
      <c r="C5" s="21" t="s">
        <v>211</v>
      </c>
      <c r="E5" s="21" t="s">
        <v>815</v>
      </c>
      <c r="F5" s="19">
        <v>20.0</v>
      </c>
      <c r="G5" s="21" t="s">
        <v>816</v>
      </c>
      <c r="I5" s="11">
        <v>3.0</v>
      </c>
      <c r="J5" s="16" t="s">
        <v>723</v>
      </c>
      <c r="K5" s="16"/>
    </row>
    <row r="6" ht="14.25" customHeight="1">
      <c r="A6" s="21" t="s">
        <v>838</v>
      </c>
      <c r="B6" s="19">
        <v>20.0</v>
      </c>
      <c r="C6" s="21" t="s">
        <v>898</v>
      </c>
      <c r="E6" s="21" t="s">
        <v>28</v>
      </c>
      <c r="F6" s="19">
        <v>60.0</v>
      </c>
      <c r="G6" s="21" t="s">
        <v>819</v>
      </c>
      <c r="I6" s="11">
        <v>4.0</v>
      </c>
      <c r="J6" s="16" t="s">
        <v>365</v>
      </c>
      <c r="K6" s="16"/>
    </row>
    <row r="7" ht="14.25" customHeight="1">
      <c r="A7" s="21" t="s">
        <v>33</v>
      </c>
      <c r="B7" s="19">
        <v>180.0</v>
      </c>
      <c r="C7" s="21" t="s">
        <v>720</v>
      </c>
      <c r="E7" s="21" t="s">
        <v>718</v>
      </c>
      <c r="F7" s="19">
        <v>40.0</v>
      </c>
      <c r="G7" s="21" t="s">
        <v>867</v>
      </c>
      <c r="I7" s="11">
        <v>5.0</v>
      </c>
      <c r="J7" s="11" t="s">
        <v>53</v>
      </c>
      <c r="K7" s="16" t="s">
        <v>20</v>
      </c>
    </row>
    <row r="8" ht="14.25" customHeight="1">
      <c r="A8" s="21" t="s">
        <v>39</v>
      </c>
      <c r="B8" s="19">
        <v>90.0</v>
      </c>
      <c r="C8" s="21" t="s">
        <v>202</v>
      </c>
      <c r="E8" s="21" t="s">
        <v>873</v>
      </c>
      <c r="F8" s="19">
        <v>20.0</v>
      </c>
      <c r="G8" s="21" t="s">
        <v>874</v>
      </c>
      <c r="I8" s="11">
        <v>6.0</v>
      </c>
      <c r="J8" s="16" t="s">
        <v>43</v>
      </c>
      <c r="K8" s="16"/>
    </row>
    <row r="9" ht="14.25" customHeight="1">
      <c r="A9" s="25" t="s">
        <v>116</v>
      </c>
      <c r="B9" s="103">
        <v>90.0</v>
      </c>
      <c r="C9" s="104" t="s">
        <v>202</v>
      </c>
      <c r="E9" s="21" t="s">
        <v>723</v>
      </c>
      <c r="F9" s="19">
        <v>180.0</v>
      </c>
      <c r="G9" s="21" t="s">
        <v>494</v>
      </c>
      <c r="I9" s="11">
        <v>7.0</v>
      </c>
      <c r="J9" s="16" t="s">
        <v>39</v>
      </c>
      <c r="K9" s="16" t="s">
        <v>20</v>
      </c>
    </row>
    <row r="10" ht="14.25" customHeight="1">
      <c r="A10" s="21" t="s">
        <v>900</v>
      </c>
      <c r="B10" s="19">
        <v>20.0</v>
      </c>
      <c r="C10" s="21" t="s">
        <v>901</v>
      </c>
      <c r="E10" s="21" t="s">
        <v>180</v>
      </c>
      <c r="F10" s="19">
        <v>60.0</v>
      </c>
      <c r="G10" s="21" t="s">
        <v>893</v>
      </c>
      <c r="I10" s="11">
        <v>8.0</v>
      </c>
      <c r="J10" s="16" t="s">
        <v>865</v>
      </c>
      <c r="K10" s="16"/>
    </row>
    <row r="11" ht="14.25" customHeight="1">
      <c r="A11" s="21" t="s">
        <v>261</v>
      </c>
      <c r="B11" s="19">
        <v>20.0</v>
      </c>
      <c r="C11" s="21" t="s">
        <v>898</v>
      </c>
      <c r="E11" s="21" t="s">
        <v>19</v>
      </c>
      <c r="F11" s="19">
        <v>90.0</v>
      </c>
      <c r="G11" s="21" t="s">
        <v>211</v>
      </c>
      <c r="I11" s="11">
        <v>9.0</v>
      </c>
      <c r="J11" s="21" t="s">
        <v>100</v>
      </c>
      <c r="K11" s="16"/>
    </row>
    <row r="12" ht="14.25" customHeight="1">
      <c r="A12" s="21"/>
      <c r="B12" s="19"/>
      <c r="C12" s="21"/>
      <c r="E12" s="21" t="s">
        <v>864</v>
      </c>
      <c r="F12" s="19">
        <v>90.0</v>
      </c>
      <c r="G12" s="21" t="s">
        <v>211</v>
      </c>
      <c r="I12" s="11">
        <v>10.0</v>
      </c>
      <c r="J12" s="16" t="s">
        <v>60</v>
      </c>
      <c r="K12" s="16"/>
    </row>
    <row r="13" ht="14.25" customHeight="1">
      <c r="A13" s="21"/>
      <c r="B13" s="19"/>
      <c r="C13" s="21"/>
      <c r="E13" s="21" t="s">
        <v>894</v>
      </c>
      <c r="F13" s="19">
        <v>40.0</v>
      </c>
      <c r="G13" s="21" t="s">
        <v>895</v>
      </c>
      <c r="I13" s="11">
        <v>11.0</v>
      </c>
      <c r="J13" s="20" t="s">
        <v>97</v>
      </c>
      <c r="K13" s="16"/>
    </row>
    <row r="14" ht="14.25" customHeight="1">
      <c r="A14" s="34" t="s">
        <v>869</v>
      </c>
      <c r="B14" s="38">
        <v>-1050.0</v>
      </c>
      <c r="C14" s="34" t="s">
        <v>870</v>
      </c>
      <c r="E14" s="21" t="s">
        <v>126</v>
      </c>
      <c r="F14" s="19">
        <v>20.0</v>
      </c>
      <c r="G14" s="21" t="s">
        <v>898</v>
      </c>
      <c r="I14" s="11">
        <v>12.0</v>
      </c>
      <c r="J14" s="11" t="s">
        <v>42</v>
      </c>
      <c r="K14" s="16" t="s">
        <v>20</v>
      </c>
    </row>
    <row r="15" ht="14.25" customHeight="1">
      <c r="A15" s="21"/>
      <c r="B15" s="19"/>
      <c r="C15" s="21"/>
      <c r="D15" s="39"/>
      <c r="E15" s="21" t="s">
        <v>74</v>
      </c>
      <c r="F15" s="19">
        <v>20.0</v>
      </c>
      <c r="G15" s="21" t="s">
        <v>901</v>
      </c>
      <c r="I15" s="11">
        <v>13.0</v>
      </c>
      <c r="J15" s="16" t="s">
        <v>544</v>
      </c>
      <c r="K15" s="16"/>
    </row>
    <row r="16" ht="14.25" customHeight="1">
      <c r="A16" s="21"/>
      <c r="B16" s="19"/>
      <c r="C16" s="21"/>
      <c r="E16" s="21" t="s">
        <v>838</v>
      </c>
      <c r="F16" s="19">
        <v>20.0</v>
      </c>
      <c r="G16" s="21" t="s">
        <v>901</v>
      </c>
      <c r="I16" s="11">
        <v>14.0</v>
      </c>
      <c r="J16" s="21" t="s">
        <v>33</v>
      </c>
      <c r="K16" s="16" t="s">
        <v>20</v>
      </c>
    </row>
    <row r="17" ht="14.25" customHeight="1">
      <c r="A17" s="21"/>
      <c r="B17" s="19"/>
      <c r="C17" s="21"/>
      <c r="I17" s="47"/>
      <c r="K17" s="110"/>
    </row>
    <row r="18" ht="14.25" customHeight="1">
      <c r="A18" s="21"/>
      <c r="B18" s="19"/>
      <c r="C18" s="21"/>
    </row>
    <row r="19" ht="14.25" customHeight="1">
      <c r="A19" s="21"/>
      <c r="B19" s="19"/>
      <c r="C19" s="21"/>
    </row>
    <row r="20" ht="14.25" customHeight="1">
      <c r="A20" s="21"/>
      <c r="B20" s="19"/>
      <c r="C20" s="21"/>
    </row>
    <row r="21" ht="14.25" customHeight="1">
      <c r="A21" s="21"/>
      <c r="B21" s="19"/>
      <c r="C21" s="21"/>
    </row>
    <row r="22" ht="14.25" customHeight="1">
      <c r="A22" s="21"/>
      <c r="B22" s="19"/>
      <c r="C22" s="21"/>
    </row>
    <row r="23" ht="14.25" customHeight="1">
      <c r="A23" s="21"/>
      <c r="B23" s="19"/>
      <c r="C23" s="21"/>
    </row>
    <row r="24" ht="14.25" customHeight="1">
      <c r="A24" s="21"/>
      <c r="B24" s="19"/>
      <c r="C24" s="21"/>
      <c r="E24" s="11" t="s">
        <v>46</v>
      </c>
      <c r="F24" s="12">
        <f>SUM(F3:F12)</f>
        <v>700</v>
      </c>
    </row>
    <row r="25" ht="14.25" customHeight="1">
      <c r="A25" s="21"/>
      <c r="B25" s="19"/>
      <c r="C25" s="21"/>
    </row>
    <row r="26" ht="14.25" customHeight="1">
      <c r="A26" s="21"/>
      <c r="B26" s="19"/>
      <c r="C26" s="21"/>
    </row>
    <row r="27" ht="14.25" customHeight="1">
      <c r="A27" s="21"/>
      <c r="B27" s="19"/>
      <c r="C27" s="21"/>
    </row>
    <row r="28" ht="14.25" customHeight="1">
      <c r="A28" s="21"/>
      <c r="B28" s="19"/>
      <c r="C28" s="21"/>
    </row>
    <row r="29" ht="14.25" customHeight="1">
      <c r="A29" s="21"/>
      <c r="B29" s="19"/>
      <c r="C29" s="21"/>
    </row>
    <row r="30" ht="14.25" customHeight="1">
      <c r="A30" s="21"/>
      <c r="B30" s="19"/>
      <c r="C30" s="21"/>
    </row>
    <row r="31" ht="14.25" customHeight="1">
      <c r="A31" s="21"/>
      <c r="B31" s="19"/>
      <c r="C31" s="21"/>
    </row>
    <row r="32" ht="14.25" customHeight="1">
      <c r="A32" s="21"/>
      <c r="B32" s="19"/>
      <c r="C32" s="21"/>
    </row>
    <row r="33" ht="14.25" customHeight="1">
      <c r="A33" s="21"/>
      <c r="B33" s="19"/>
      <c r="C33" s="25"/>
    </row>
    <row r="34" ht="14.25" customHeight="1">
      <c r="A34" s="21"/>
      <c r="B34" s="19"/>
      <c r="C34" s="25"/>
    </row>
    <row r="35" ht="14.25" customHeight="1">
      <c r="A35" s="21"/>
      <c r="B35" s="19"/>
      <c r="C35" s="21"/>
    </row>
    <row r="36" ht="14.25" customHeight="1">
      <c r="A36" s="21"/>
      <c r="B36" s="19"/>
      <c r="C36" s="21"/>
      <c r="E36" s="21" t="s">
        <v>17</v>
      </c>
      <c r="F36" s="19">
        <v>100.0</v>
      </c>
      <c r="G36" s="21" t="s">
        <v>842</v>
      </c>
    </row>
    <row r="37" ht="14.25" customHeight="1">
      <c r="A37" s="21"/>
      <c r="B37" s="19"/>
      <c r="C37" s="21"/>
      <c r="E37" s="21" t="s">
        <v>500</v>
      </c>
      <c r="F37" s="19">
        <v>60.003</v>
      </c>
      <c r="G37" s="21" t="s">
        <v>648</v>
      </c>
    </row>
    <row r="38" ht="14.25" customHeight="1">
      <c r="A38" s="21"/>
      <c r="B38" s="19"/>
      <c r="C38" s="25"/>
      <c r="E38" s="21" t="s">
        <v>555</v>
      </c>
      <c r="F38" s="19">
        <v>20.0</v>
      </c>
      <c r="G38" s="97" t="s">
        <v>556</v>
      </c>
    </row>
    <row r="39" ht="14.25" customHeight="1">
      <c r="A39" s="21"/>
      <c r="B39" s="19"/>
      <c r="C39" s="21"/>
      <c r="E39" s="21" t="s">
        <v>74</v>
      </c>
      <c r="F39" s="19">
        <v>90.0</v>
      </c>
      <c r="G39" s="21" t="s">
        <v>770</v>
      </c>
    </row>
    <row r="40" ht="14.25" customHeight="1">
      <c r="A40" s="21"/>
      <c r="B40" s="19"/>
      <c r="C40" s="21"/>
      <c r="E40" s="21" t="s">
        <v>673</v>
      </c>
      <c r="F40" s="19">
        <v>20.0</v>
      </c>
      <c r="G40" s="21" t="s">
        <v>674</v>
      </c>
      <c r="L40" s="47" t="s">
        <v>298</v>
      </c>
    </row>
    <row r="41" ht="14.25" customHeight="1">
      <c r="A41" s="21"/>
      <c r="B41" s="19"/>
      <c r="C41" s="21"/>
      <c r="E41" s="21" t="s">
        <v>714</v>
      </c>
      <c r="F41" s="19">
        <v>40.0</v>
      </c>
      <c r="G41" s="21" t="s">
        <v>719</v>
      </c>
    </row>
    <row r="42" ht="14.25" customHeight="1">
      <c r="A42" s="21"/>
      <c r="B42" s="19"/>
      <c r="C42" s="21"/>
      <c r="E42" s="21" t="s">
        <v>664</v>
      </c>
      <c r="F42" s="19">
        <v>20.0</v>
      </c>
      <c r="G42" s="21" t="s">
        <v>742</v>
      </c>
    </row>
    <row r="43" ht="14.25" customHeight="1">
      <c r="A43" s="21"/>
      <c r="B43" s="19"/>
      <c r="C43" s="21"/>
    </row>
    <row r="44" ht="14.25" customHeight="1">
      <c r="A44" s="21"/>
      <c r="B44" s="19"/>
      <c r="C44" s="21"/>
    </row>
    <row r="45" ht="14.25" customHeight="1">
      <c r="A45" s="21"/>
      <c r="B45" s="19"/>
      <c r="C45" s="21"/>
    </row>
    <row r="46" ht="14.25" customHeight="1">
      <c r="A46" s="21"/>
      <c r="B46" s="19"/>
      <c r="C46" s="21"/>
    </row>
    <row r="47" ht="14.25" customHeight="1">
      <c r="A47" s="21"/>
      <c r="B47" s="19"/>
      <c r="C47" s="21"/>
    </row>
    <row r="48" ht="14.25" customHeight="1">
      <c r="A48" s="21"/>
      <c r="B48" s="19"/>
      <c r="C48" s="21"/>
    </row>
    <row r="49" ht="14.25" customHeight="1">
      <c r="A49" s="21"/>
      <c r="B49" s="19"/>
      <c r="C49" s="21"/>
    </row>
    <row r="50" ht="14.25" customHeight="1">
      <c r="A50" s="21"/>
      <c r="B50" s="19"/>
      <c r="C50" s="21"/>
    </row>
    <row r="51" ht="14.25" customHeight="1">
      <c r="A51" s="21"/>
      <c r="B51" s="19"/>
      <c r="C51" s="21"/>
    </row>
    <row r="52" ht="14.25" customHeight="1">
      <c r="A52" s="21"/>
      <c r="B52" s="19"/>
      <c r="C52" s="21"/>
    </row>
    <row r="53" ht="14.25" customHeight="1">
      <c r="A53" s="21"/>
      <c r="B53" s="19"/>
      <c r="C53" s="21"/>
    </row>
    <row r="54" ht="14.25" customHeight="1">
      <c r="A54" s="21"/>
      <c r="B54" s="19"/>
      <c r="C54" s="21"/>
    </row>
    <row r="55" ht="14.25" customHeight="1">
      <c r="A55" s="21"/>
      <c r="B55" s="19"/>
      <c r="C55" s="21"/>
    </row>
    <row r="56" ht="14.25" customHeight="1">
      <c r="A56" s="51" t="s">
        <v>106</v>
      </c>
      <c r="B56" s="52">
        <f>SUM(B3:B55)</f>
        <v>298.17</v>
      </c>
      <c r="C56" s="51"/>
    </row>
    <row r="57" ht="14.25" customHeight="1"/>
    <row r="58" ht="14.25" customHeight="1">
      <c r="B58" s="44"/>
    </row>
    <row r="59" ht="14.25" customHeight="1">
      <c r="B59" s="44"/>
    </row>
    <row r="60" ht="14.25" customHeight="1">
      <c r="A60" s="59"/>
      <c r="B60" s="60"/>
      <c r="C60" s="59"/>
    </row>
    <row r="61" ht="14.25" customHeight="1">
      <c r="B61" s="44"/>
    </row>
    <row r="62" ht="14.25" customHeight="1">
      <c r="B62" s="44"/>
    </row>
    <row r="63" ht="14.25" customHeight="1">
      <c r="B63" s="44"/>
    </row>
    <row r="64" ht="14.25" customHeight="1">
      <c r="B64" s="44"/>
    </row>
    <row r="65" ht="14.25" customHeight="1">
      <c r="B65" s="44"/>
    </row>
    <row r="66" ht="14.25" customHeight="1">
      <c r="B66" s="44"/>
    </row>
    <row r="67" ht="14.25" customHeight="1">
      <c r="B67" s="44"/>
    </row>
    <row r="68" ht="14.25" customHeight="1">
      <c r="B68" s="44"/>
    </row>
    <row r="69" ht="14.25" customHeight="1">
      <c r="B69" s="44"/>
    </row>
    <row r="70" ht="14.25" customHeight="1">
      <c r="B70" s="44"/>
    </row>
    <row r="71" ht="14.25" customHeight="1">
      <c r="B71" s="44"/>
    </row>
    <row r="72" ht="14.25" customHeight="1">
      <c r="B72" s="44"/>
    </row>
    <row r="73" ht="14.25" customHeight="1">
      <c r="B73" s="44"/>
    </row>
    <row r="74" ht="14.25" customHeight="1">
      <c r="B74" s="44"/>
    </row>
    <row r="75" ht="14.25" customHeight="1">
      <c r="B75" s="44"/>
    </row>
    <row r="76" ht="14.25" customHeight="1">
      <c r="B76" s="44"/>
    </row>
    <row r="77" ht="14.25" customHeight="1">
      <c r="B77" s="44"/>
    </row>
    <row r="78" ht="14.25" customHeight="1">
      <c r="B78" s="44"/>
    </row>
    <row r="79" ht="14.25" customHeight="1">
      <c r="B79" s="44"/>
    </row>
    <row r="80" ht="14.25" customHeight="1">
      <c r="B80" s="44"/>
    </row>
    <row r="81" ht="14.25" customHeight="1">
      <c r="B81" s="44"/>
    </row>
    <row r="82" ht="14.25" customHeight="1">
      <c r="B82" s="44"/>
    </row>
    <row r="83" ht="14.25" customHeight="1">
      <c r="B83" s="44"/>
    </row>
    <row r="84" ht="14.25" customHeight="1">
      <c r="B84" s="44"/>
    </row>
    <row r="85" ht="14.25" customHeight="1">
      <c r="B85" s="44"/>
    </row>
    <row r="86" ht="14.25" customHeight="1">
      <c r="B86" s="44"/>
    </row>
    <row r="87" ht="14.25" customHeight="1">
      <c r="B87" s="44"/>
    </row>
    <row r="88" ht="14.25" customHeight="1">
      <c r="B88" s="44"/>
    </row>
    <row r="89" ht="14.25" customHeight="1">
      <c r="B89" s="44"/>
    </row>
    <row r="90" ht="14.25" customHeight="1">
      <c r="B90" s="44"/>
    </row>
    <row r="91" ht="14.25" customHeight="1">
      <c r="B91" s="44"/>
    </row>
    <row r="92" ht="14.25" customHeight="1">
      <c r="B92" s="44"/>
    </row>
    <row r="93" ht="14.25" customHeight="1">
      <c r="B93" s="44"/>
    </row>
    <row r="94" ht="14.25" customHeight="1">
      <c r="B94" s="44"/>
    </row>
    <row r="95" ht="14.25" customHeight="1">
      <c r="B95" s="44"/>
    </row>
    <row r="96" ht="14.25" customHeight="1">
      <c r="B96" s="44"/>
    </row>
    <row r="97" ht="14.25" customHeight="1">
      <c r="B97" s="44"/>
    </row>
    <row r="98" ht="14.25" customHeight="1">
      <c r="B98" s="44"/>
    </row>
    <row r="99" ht="14.25" customHeight="1">
      <c r="B99" s="44"/>
    </row>
    <row r="100" ht="14.25" customHeight="1">
      <c r="B100" s="44"/>
    </row>
    <row r="101" ht="14.25" customHeight="1">
      <c r="B101" s="44"/>
    </row>
    <row r="102" ht="14.25" customHeight="1">
      <c r="B102" s="44"/>
    </row>
    <row r="103" ht="14.25" customHeight="1">
      <c r="B103" s="44"/>
    </row>
    <row r="104" ht="14.25" customHeight="1">
      <c r="B104" s="44"/>
    </row>
    <row r="105" ht="14.25" customHeight="1">
      <c r="B105" s="44"/>
    </row>
    <row r="106" ht="14.25" customHeight="1">
      <c r="B106" s="44"/>
    </row>
    <row r="107" ht="14.25" customHeight="1">
      <c r="B107" s="44"/>
    </row>
    <row r="108" ht="14.25" customHeight="1">
      <c r="B108" s="44"/>
    </row>
    <row r="109" ht="14.25" customHeight="1">
      <c r="B109" s="44"/>
    </row>
    <row r="110" ht="14.25" customHeight="1">
      <c r="B110" s="44"/>
    </row>
    <row r="111" ht="14.25" customHeight="1">
      <c r="B111" s="44"/>
    </row>
    <row r="112" ht="14.25" customHeight="1">
      <c r="B112" s="44"/>
    </row>
    <row r="113" ht="14.25" customHeight="1">
      <c r="B113" s="44"/>
    </row>
    <row r="114" ht="14.25" customHeight="1">
      <c r="B114" s="44"/>
    </row>
    <row r="115" ht="14.25" customHeight="1">
      <c r="B115" s="44"/>
    </row>
    <row r="116" ht="14.25" customHeight="1">
      <c r="B116" s="44"/>
    </row>
    <row r="117" ht="14.25" customHeight="1">
      <c r="B117" s="44"/>
    </row>
    <row r="118" ht="14.25" customHeight="1">
      <c r="B118" s="44"/>
    </row>
    <row r="119" ht="14.25" customHeight="1">
      <c r="B119" s="44"/>
    </row>
    <row r="120" ht="14.25" customHeight="1">
      <c r="B120" s="44"/>
    </row>
    <row r="121" ht="14.25" customHeight="1">
      <c r="B121" s="44"/>
    </row>
    <row r="122" ht="14.25" customHeight="1">
      <c r="B122" s="44"/>
    </row>
    <row r="123" ht="14.25" customHeight="1">
      <c r="B123" s="44"/>
    </row>
    <row r="124" ht="14.25" customHeight="1">
      <c r="B124" s="44"/>
    </row>
    <row r="125" ht="14.25" customHeight="1">
      <c r="B125" s="44"/>
    </row>
    <row r="126" ht="14.25" customHeight="1">
      <c r="B126" s="44"/>
    </row>
    <row r="127" ht="14.25" customHeight="1">
      <c r="B127" s="44"/>
    </row>
    <row r="128" ht="14.25" customHeight="1">
      <c r="B128" s="44"/>
    </row>
    <row r="129" ht="14.25" customHeight="1">
      <c r="B129" s="44"/>
    </row>
    <row r="130" ht="14.25" customHeight="1">
      <c r="B130" s="44"/>
    </row>
    <row r="131" ht="14.25" customHeight="1">
      <c r="B131" s="44"/>
    </row>
    <row r="132" ht="14.25" customHeight="1">
      <c r="B132" s="44"/>
    </row>
    <row r="133" ht="14.25" customHeight="1">
      <c r="B133" s="44"/>
    </row>
    <row r="134" ht="14.25" customHeight="1">
      <c r="B134" s="44"/>
    </row>
    <row r="135" ht="14.25" customHeight="1">
      <c r="B135" s="44"/>
    </row>
    <row r="136" ht="14.25" customHeight="1">
      <c r="B136" s="44"/>
    </row>
    <row r="137" ht="14.25" customHeight="1">
      <c r="B137" s="44"/>
    </row>
    <row r="138" ht="14.25" customHeight="1">
      <c r="B138" s="44"/>
    </row>
    <row r="139" ht="14.25" customHeight="1">
      <c r="B139" s="44"/>
    </row>
    <row r="140" ht="14.25" customHeight="1">
      <c r="B140" s="44"/>
    </row>
    <row r="141" ht="14.25" customHeight="1">
      <c r="B141" s="44"/>
    </row>
    <row r="142" ht="14.25" customHeight="1">
      <c r="B142" s="44"/>
    </row>
    <row r="143" ht="14.25" customHeight="1">
      <c r="B143" s="44"/>
    </row>
    <row r="144" ht="14.25" customHeight="1">
      <c r="B144" s="44"/>
    </row>
    <row r="145" ht="14.25" customHeight="1">
      <c r="B145" s="44"/>
    </row>
    <row r="146" ht="14.25" customHeight="1">
      <c r="B146" s="44"/>
    </row>
    <row r="147" ht="14.25" customHeight="1">
      <c r="B147" s="44"/>
    </row>
    <row r="148" ht="14.25" customHeight="1">
      <c r="B148" s="44"/>
    </row>
    <row r="149" ht="14.25" customHeight="1">
      <c r="B149" s="44"/>
    </row>
    <row r="150" ht="14.25" customHeight="1">
      <c r="B150" s="44"/>
    </row>
    <row r="151" ht="14.25" customHeight="1">
      <c r="B151" s="44"/>
    </row>
    <row r="152" ht="14.25" customHeight="1">
      <c r="B152" s="44"/>
    </row>
    <row r="153" ht="14.25" customHeight="1">
      <c r="B153" s="44"/>
    </row>
    <row r="154" ht="14.25" customHeight="1">
      <c r="B154" s="44"/>
    </row>
    <row r="155" ht="14.25" customHeight="1">
      <c r="B155" s="44"/>
    </row>
    <row r="156" ht="14.25" customHeight="1">
      <c r="B156" s="44"/>
    </row>
    <row r="157" ht="14.25" customHeight="1">
      <c r="B157" s="44"/>
    </row>
    <row r="158" ht="14.25" customHeight="1">
      <c r="B158" s="44"/>
    </row>
    <row r="159" ht="14.25" customHeight="1">
      <c r="B159" s="44"/>
    </row>
    <row r="160" ht="14.25" customHeight="1">
      <c r="B160" s="44"/>
    </row>
    <row r="161" ht="14.25" customHeight="1">
      <c r="B161" s="44"/>
    </row>
    <row r="162" ht="14.25" customHeight="1">
      <c r="B162" s="44"/>
    </row>
    <row r="163" ht="14.25" customHeight="1">
      <c r="B163" s="44"/>
    </row>
    <row r="164" ht="14.25" customHeight="1">
      <c r="B164" s="44"/>
    </row>
    <row r="165" ht="14.25" customHeight="1">
      <c r="B165" s="44"/>
    </row>
    <row r="166" ht="14.25" customHeight="1">
      <c r="B166" s="44"/>
    </row>
    <row r="167" ht="14.25" customHeight="1">
      <c r="B167" s="44"/>
    </row>
    <row r="168" ht="14.25" customHeight="1">
      <c r="B168" s="44"/>
    </row>
    <row r="169" ht="14.25" customHeight="1">
      <c r="B169" s="44"/>
    </row>
    <row r="170" ht="14.25" customHeight="1">
      <c r="B170" s="44"/>
    </row>
    <row r="171" ht="14.25" customHeight="1">
      <c r="B171" s="44"/>
    </row>
    <row r="172" ht="14.25" customHeight="1">
      <c r="B172" s="44"/>
    </row>
    <row r="173" ht="14.25" customHeight="1">
      <c r="B173" s="44"/>
    </row>
    <row r="174" ht="14.25" customHeight="1">
      <c r="B174" s="44"/>
    </row>
    <row r="175" ht="14.25" customHeight="1">
      <c r="B175" s="44"/>
    </row>
    <row r="176" ht="14.25" customHeight="1">
      <c r="B176" s="44"/>
    </row>
    <row r="177" ht="14.25" customHeight="1">
      <c r="B177" s="44"/>
    </row>
    <row r="178" ht="14.25" customHeight="1">
      <c r="B178" s="44"/>
    </row>
    <row r="179" ht="14.25" customHeight="1">
      <c r="B179" s="44"/>
    </row>
    <row r="180" ht="14.25" customHeight="1">
      <c r="B180" s="44"/>
    </row>
    <row r="181" ht="14.25" customHeight="1">
      <c r="B181" s="44"/>
    </row>
    <row r="182" ht="14.25" customHeight="1">
      <c r="B182" s="44"/>
    </row>
    <row r="183" ht="14.25" customHeight="1">
      <c r="B183" s="44"/>
    </row>
    <row r="184" ht="14.25" customHeight="1">
      <c r="B184" s="44"/>
    </row>
    <row r="185" ht="14.25" customHeight="1">
      <c r="B185" s="44"/>
    </row>
    <row r="186" ht="14.25" customHeight="1">
      <c r="B186" s="44"/>
    </row>
    <row r="187" ht="14.25" customHeight="1">
      <c r="B187" s="44"/>
    </row>
    <row r="188" ht="14.25" customHeight="1">
      <c r="B188" s="44"/>
    </row>
    <row r="189" ht="14.25" customHeight="1">
      <c r="B189" s="44"/>
    </row>
    <row r="190" ht="14.25" customHeight="1">
      <c r="B190" s="44"/>
    </row>
    <row r="191" ht="14.25" customHeight="1">
      <c r="B191" s="44"/>
    </row>
    <row r="192" ht="14.25" customHeight="1">
      <c r="B192" s="44"/>
    </row>
    <row r="193" ht="14.25" customHeight="1">
      <c r="B193" s="44"/>
    </row>
    <row r="194" ht="14.25" customHeight="1">
      <c r="B194" s="44"/>
    </row>
    <row r="195" ht="14.25" customHeight="1">
      <c r="B195" s="44"/>
    </row>
    <row r="196" ht="14.25" customHeight="1">
      <c r="B196" s="44"/>
    </row>
    <row r="197" ht="14.25" customHeight="1">
      <c r="B197" s="44"/>
    </row>
    <row r="198" ht="14.25" customHeight="1">
      <c r="B198" s="44"/>
    </row>
    <row r="199" ht="14.25" customHeight="1">
      <c r="B199" s="44"/>
    </row>
    <row r="200" ht="14.25" customHeight="1">
      <c r="B200" s="44"/>
    </row>
    <row r="201" ht="14.25" customHeight="1">
      <c r="B201" s="44"/>
    </row>
    <row r="202" ht="14.25" customHeight="1">
      <c r="B202" s="44"/>
    </row>
    <row r="203" ht="14.25" customHeight="1">
      <c r="B203" s="44"/>
    </row>
    <row r="204" ht="14.25" customHeight="1">
      <c r="B204" s="44"/>
    </row>
    <row r="205" ht="14.25" customHeight="1">
      <c r="B205" s="44"/>
    </row>
    <row r="206" ht="14.25" customHeight="1">
      <c r="B206" s="44"/>
    </row>
    <row r="207" ht="14.25" customHeight="1">
      <c r="B207" s="44"/>
    </row>
    <row r="208" ht="14.25" customHeight="1">
      <c r="B208" s="44"/>
    </row>
    <row r="209" ht="14.25" customHeight="1">
      <c r="B209" s="44"/>
    </row>
    <row r="210" ht="14.25" customHeight="1">
      <c r="B210" s="44"/>
    </row>
    <row r="211" ht="14.25" customHeight="1">
      <c r="B211" s="44"/>
    </row>
    <row r="212" ht="14.25" customHeight="1">
      <c r="B212" s="44"/>
    </row>
    <row r="213" ht="14.25" customHeight="1">
      <c r="B213" s="44"/>
    </row>
    <row r="214" ht="14.25" customHeight="1">
      <c r="B214" s="44"/>
    </row>
    <row r="215" ht="14.25" customHeight="1">
      <c r="B215" s="44"/>
    </row>
    <row r="216" ht="14.25" customHeight="1">
      <c r="B216" s="44"/>
    </row>
    <row r="217" ht="14.25" customHeight="1">
      <c r="B217" s="44"/>
    </row>
    <row r="218" ht="14.25" customHeight="1">
      <c r="B218" s="44"/>
    </row>
    <row r="219" ht="14.25" customHeight="1">
      <c r="B219" s="44"/>
    </row>
    <row r="220" ht="14.25" customHeight="1">
      <c r="B220" s="44"/>
    </row>
    <row r="221" ht="14.25" customHeight="1">
      <c r="B221" s="44"/>
    </row>
    <row r="222" ht="14.25" customHeight="1">
      <c r="B222" s="44"/>
    </row>
    <row r="223" ht="14.25" customHeight="1">
      <c r="B223" s="44"/>
    </row>
    <row r="224" ht="14.25" customHeight="1">
      <c r="B224" s="44"/>
    </row>
    <row r="225" ht="14.25" customHeight="1">
      <c r="B225" s="44"/>
    </row>
    <row r="226" ht="14.25" customHeight="1">
      <c r="B226" s="44"/>
    </row>
    <row r="227" ht="14.25" customHeight="1">
      <c r="B227" s="44"/>
    </row>
    <row r="228" ht="14.25" customHeight="1">
      <c r="B228" s="44"/>
    </row>
    <row r="229" ht="14.25" customHeight="1">
      <c r="B229" s="44"/>
    </row>
    <row r="230" ht="14.25" customHeight="1">
      <c r="B230" s="44"/>
    </row>
    <row r="231" ht="14.25" customHeight="1">
      <c r="B231" s="44"/>
    </row>
    <row r="232" ht="14.25" customHeight="1">
      <c r="B232" s="44"/>
    </row>
    <row r="233" ht="14.25" customHeight="1">
      <c r="B233" s="44"/>
    </row>
    <row r="234" ht="14.25" customHeight="1">
      <c r="B234" s="44"/>
    </row>
    <row r="235" ht="14.25" customHeight="1">
      <c r="B235" s="44"/>
    </row>
    <row r="236" ht="14.25" customHeight="1">
      <c r="B236" s="44"/>
    </row>
    <row r="237" ht="14.25" customHeight="1">
      <c r="B237" s="44"/>
    </row>
    <row r="238" ht="14.25" customHeight="1">
      <c r="B238" s="44"/>
    </row>
    <row r="239" ht="14.25" customHeight="1">
      <c r="B239" s="44"/>
    </row>
    <row r="240" ht="14.25" customHeight="1">
      <c r="B240" s="44"/>
    </row>
    <row r="241" ht="14.25" customHeight="1">
      <c r="B241" s="44"/>
    </row>
    <row r="242" ht="14.25" customHeight="1">
      <c r="B242" s="44"/>
    </row>
    <row r="243" ht="14.25" customHeight="1">
      <c r="B243" s="44"/>
    </row>
    <row r="244" ht="14.25" customHeight="1">
      <c r="B244" s="44"/>
    </row>
    <row r="245" ht="14.25" customHeight="1">
      <c r="B245" s="44"/>
    </row>
    <row r="246" ht="14.25" customHeight="1">
      <c r="B246" s="44"/>
    </row>
    <row r="247" ht="14.25" customHeight="1">
      <c r="B247" s="44"/>
    </row>
    <row r="248" ht="14.25" customHeight="1">
      <c r="B248" s="44"/>
    </row>
    <row r="249" ht="14.25" customHeight="1">
      <c r="B249" s="44"/>
    </row>
    <row r="250" ht="14.25" customHeight="1">
      <c r="B250" s="44"/>
    </row>
    <row r="251" ht="14.25" customHeight="1">
      <c r="B251" s="44"/>
    </row>
    <row r="252" ht="14.25" customHeight="1">
      <c r="B252" s="44"/>
    </row>
    <row r="253" ht="14.25" customHeight="1">
      <c r="B253" s="44"/>
    </row>
    <row r="254" ht="14.25" customHeight="1">
      <c r="B254" s="44"/>
    </row>
    <row r="255" ht="14.25" customHeight="1">
      <c r="B255" s="44"/>
    </row>
    <row r="256" ht="14.25" customHeight="1">
      <c r="B256" s="44"/>
    </row>
    <row r="257" ht="14.25" customHeight="1">
      <c r="B257" s="44"/>
    </row>
    <row r="258" ht="14.25" customHeight="1">
      <c r="B258" s="44"/>
    </row>
    <row r="259" ht="14.25" customHeight="1">
      <c r="B259" s="44"/>
    </row>
    <row r="260" ht="14.25" customHeight="1">
      <c r="B260" s="44"/>
    </row>
    <row r="261" ht="14.25" customHeight="1">
      <c r="B261" s="44"/>
    </row>
    <row r="262" ht="14.25" customHeight="1">
      <c r="B262" s="44"/>
    </row>
    <row r="263" ht="14.25" customHeight="1">
      <c r="B263" s="44"/>
    </row>
    <row r="264" ht="14.25" customHeight="1">
      <c r="B264" s="44"/>
    </row>
    <row r="265" ht="14.25" customHeight="1">
      <c r="B265" s="44"/>
    </row>
    <row r="266" ht="14.25" customHeight="1">
      <c r="B266" s="44"/>
    </row>
    <row r="267" ht="14.25" customHeight="1">
      <c r="B267" s="44"/>
    </row>
    <row r="268" ht="14.25" customHeight="1">
      <c r="B268" s="44"/>
    </row>
    <row r="269" ht="14.25" customHeight="1">
      <c r="B269" s="44"/>
    </row>
    <row r="270" ht="14.25" customHeight="1">
      <c r="B270" s="44"/>
    </row>
    <row r="271" ht="14.25" customHeight="1">
      <c r="B271" s="44"/>
    </row>
    <row r="272" ht="14.25" customHeight="1">
      <c r="B272" s="44"/>
    </row>
    <row r="273" ht="14.25" customHeight="1">
      <c r="B273" s="44"/>
    </row>
    <row r="274" ht="14.25" customHeight="1">
      <c r="B274" s="44"/>
    </row>
    <row r="275" ht="14.25" customHeight="1">
      <c r="B275" s="44"/>
    </row>
    <row r="276" ht="14.25" customHeight="1">
      <c r="B276" s="44"/>
    </row>
    <row r="277" ht="14.25" customHeight="1">
      <c r="B277" s="44"/>
    </row>
    <row r="278" ht="14.25" customHeight="1">
      <c r="B278" s="44"/>
    </row>
    <row r="279" ht="14.25" customHeight="1">
      <c r="B279" s="44"/>
    </row>
    <row r="280" ht="14.25" customHeight="1">
      <c r="B280" s="44"/>
    </row>
    <row r="281" ht="14.25" customHeight="1">
      <c r="B281" s="44"/>
    </row>
    <row r="282" ht="14.25" customHeight="1">
      <c r="B282" s="44"/>
    </row>
    <row r="283" ht="14.25" customHeight="1">
      <c r="B283" s="44"/>
    </row>
    <row r="284" ht="14.25" customHeight="1">
      <c r="B284" s="44"/>
    </row>
    <row r="285" ht="14.25" customHeight="1">
      <c r="B285" s="44"/>
    </row>
    <row r="286" ht="14.25" customHeight="1">
      <c r="B286" s="44"/>
    </row>
    <row r="287" ht="14.25" customHeight="1">
      <c r="B287" s="44"/>
    </row>
    <row r="288" ht="14.25" customHeight="1">
      <c r="B288" s="44"/>
    </row>
    <row r="289" ht="14.25" customHeight="1">
      <c r="B289" s="44"/>
    </row>
    <row r="290" ht="14.25" customHeight="1">
      <c r="B290" s="44"/>
    </row>
    <row r="291" ht="14.25" customHeight="1">
      <c r="B291" s="44"/>
    </row>
    <row r="292" ht="14.25" customHeight="1">
      <c r="B292" s="44"/>
    </row>
    <row r="293" ht="14.25" customHeight="1">
      <c r="B293" s="44"/>
    </row>
    <row r="294" ht="14.25" customHeight="1">
      <c r="B294" s="44"/>
    </row>
    <row r="295" ht="14.25" customHeight="1">
      <c r="B295" s="44"/>
    </row>
    <row r="296" ht="14.25" customHeight="1">
      <c r="B296" s="44"/>
    </row>
    <row r="297" ht="14.25" customHeight="1">
      <c r="B297" s="44"/>
    </row>
    <row r="298" ht="14.25" customHeight="1">
      <c r="B298" s="44"/>
    </row>
    <row r="299" ht="14.25" customHeight="1">
      <c r="B299" s="44"/>
    </row>
    <row r="300" ht="14.25" customHeight="1">
      <c r="B300" s="44"/>
    </row>
    <row r="301" ht="14.25" customHeight="1">
      <c r="B301" s="44"/>
    </row>
    <row r="302" ht="14.25" customHeight="1">
      <c r="B302" s="44"/>
    </row>
    <row r="303" ht="14.25" customHeight="1">
      <c r="B303" s="44"/>
    </row>
    <row r="304" ht="14.25" customHeight="1">
      <c r="B304" s="44"/>
    </row>
    <row r="305" ht="14.25" customHeight="1">
      <c r="B305" s="44"/>
    </row>
    <row r="306" ht="14.25" customHeight="1">
      <c r="B306" s="44"/>
    </row>
    <row r="307" ht="14.25" customHeight="1">
      <c r="B307" s="44"/>
    </row>
    <row r="308" ht="14.25" customHeight="1">
      <c r="B308" s="44"/>
    </row>
    <row r="309" ht="14.25" customHeight="1">
      <c r="B309" s="44"/>
    </row>
    <row r="310" ht="14.25" customHeight="1">
      <c r="B310" s="44"/>
    </row>
    <row r="311" ht="14.25" customHeight="1">
      <c r="B311" s="44"/>
    </row>
    <row r="312" ht="14.25" customHeight="1">
      <c r="B312" s="44"/>
    </row>
    <row r="313" ht="14.25" customHeight="1">
      <c r="B313" s="44"/>
    </row>
    <row r="314" ht="14.25" customHeight="1">
      <c r="B314" s="44"/>
    </row>
    <row r="315" ht="14.25" customHeight="1">
      <c r="B315" s="44"/>
    </row>
    <row r="316" ht="14.25" customHeight="1">
      <c r="B316" s="44"/>
    </row>
    <row r="317" ht="14.25" customHeight="1">
      <c r="B317" s="44"/>
    </row>
    <row r="318" ht="14.25" customHeight="1">
      <c r="B318" s="44"/>
    </row>
    <row r="319" ht="14.25" customHeight="1">
      <c r="B319" s="44"/>
    </row>
    <row r="320" ht="14.25" customHeight="1">
      <c r="B320" s="44"/>
    </row>
    <row r="321" ht="14.25" customHeight="1">
      <c r="B321" s="44"/>
    </row>
    <row r="322" ht="14.25" customHeight="1">
      <c r="B322" s="44"/>
    </row>
    <row r="323" ht="14.25" customHeight="1">
      <c r="B323" s="44"/>
    </row>
    <row r="324" ht="14.25" customHeight="1">
      <c r="B324" s="44"/>
    </row>
    <row r="325" ht="14.25" customHeight="1">
      <c r="B325" s="44"/>
    </row>
    <row r="326" ht="14.25" customHeight="1">
      <c r="B326" s="44"/>
    </row>
    <row r="327" ht="14.25" customHeight="1">
      <c r="B327" s="44"/>
    </row>
    <row r="328" ht="14.25" customHeight="1">
      <c r="B328" s="44"/>
    </row>
    <row r="329" ht="14.25" customHeight="1">
      <c r="B329" s="44"/>
    </row>
    <row r="330" ht="14.25" customHeight="1">
      <c r="B330" s="44"/>
    </row>
    <row r="331" ht="14.25" customHeight="1">
      <c r="B331" s="44"/>
    </row>
    <row r="332" ht="14.25" customHeight="1">
      <c r="B332" s="44"/>
    </row>
    <row r="333" ht="14.25" customHeight="1">
      <c r="B333" s="44"/>
    </row>
    <row r="334" ht="14.25" customHeight="1">
      <c r="B334" s="44"/>
    </row>
    <row r="335" ht="14.25" customHeight="1">
      <c r="B335" s="44"/>
    </row>
    <row r="336" ht="14.25" customHeight="1">
      <c r="B336" s="44"/>
    </row>
    <row r="337" ht="14.25" customHeight="1">
      <c r="B337" s="44"/>
    </row>
    <row r="338" ht="14.25" customHeight="1">
      <c r="B338" s="44"/>
    </row>
    <row r="339" ht="14.25" customHeight="1">
      <c r="B339" s="44"/>
    </row>
    <row r="340" ht="14.25" customHeight="1">
      <c r="B340" s="44"/>
    </row>
    <row r="341" ht="14.25" customHeight="1">
      <c r="B341" s="44"/>
    </row>
    <row r="342" ht="14.25" customHeight="1">
      <c r="B342" s="44"/>
    </row>
    <row r="343" ht="14.25" customHeight="1">
      <c r="B343" s="44"/>
    </row>
    <row r="344" ht="14.25" customHeight="1">
      <c r="B344" s="44"/>
    </row>
    <row r="345" ht="14.25" customHeight="1">
      <c r="B345" s="44"/>
    </row>
    <row r="346" ht="14.25" customHeight="1">
      <c r="B346" s="44"/>
    </row>
    <row r="347" ht="14.25" customHeight="1">
      <c r="B347" s="44"/>
    </row>
    <row r="348" ht="14.25" customHeight="1">
      <c r="B348" s="44"/>
    </row>
    <row r="349" ht="14.25" customHeight="1">
      <c r="B349" s="44"/>
    </row>
    <row r="350" ht="14.25" customHeight="1">
      <c r="B350" s="44"/>
    </row>
    <row r="351" ht="14.25" customHeight="1">
      <c r="B351" s="44"/>
    </row>
    <row r="352" ht="14.25" customHeight="1">
      <c r="B352" s="44"/>
    </row>
    <row r="353" ht="14.25" customHeight="1">
      <c r="B353" s="44"/>
    </row>
    <row r="354" ht="14.25" customHeight="1">
      <c r="B354" s="44"/>
    </row>
    <row r="355" ht="14.25" customHeight="1">
      <c r="B355" s="44"/>
    </row>
    <row r="356" ht="14.25" customHeight="1">
      <c r="B356" s="44"/>
    </row>
    <row r="357" ht="14.25" customHeight="1">
      <c r="B357" s="44"/>
    </row>
    <row r="358" ht="14.25" customHeight="1">
      <c r="B358" s="44"/>
    </row>
    <row r="359" ht="14.25" customHeight="1">
      <c r="B359" s="44"/>
    </row>
    <row r="360" ht="14.25" customHeight="1">
      <c r="B360" s="44"/>
    </row>
    <row r="361" ht="14.25" customHeight="1">
      <c r="B361" s="44"/>
    </row>
    <row r="362" ht="14.25" customHeight="1">
      <c r="B362" s="44"/>
    </row>
    <row r="363" ht="14.25" customHeight="1">
      <c r="B363" s="44"/>
    </row>
    <row r="364" ht="14.25" customHeight="1">
      <c r="B364" s="44"/>
    </row>
    <row r="365" ht="14.25" customHeight="1">
      <c r="B365" s="44"/>
    </row>
    <row r="366" ht="14.25" customHeight="1">
      <c r="B366" s="44"/>
    </row>
    <row r="367" ht="14.25" customHeight="1">
      <c r="B367" s="44"/>
    </row>
    <row r="368" ht="14.25" customHeight="1">
      <c r="B368" s="44"/>
    </row>
    <row r="369" ht="14.25" customHeight="1">
      <c r="B369" s="44"/>
    </row>
    <row r="370" ht="14.25" customHeight="1">
      <c r="B370" s="44"/>
    </row>
    <row r="371" ht="14.25" customHeight="1">
      <c r="B371" s="44"/>
    </row>
    <row r="372" ht="14.25" customHeight="1">
      <c r="B372" s="44"/>
    </row>
    <row r="373" ht="14.25" customHeight="1">
      <c r="B373" s="44"/>
    </row>
    <row r="374" ht="14.25" customHeight="1">
      <c r="B374" s="44"/>
    </row>
    <row r="375" ht="14.25" customHeight="1">
      <c r="B375" s="44"/>
    </row>
    <row r="376" ht="14.25" customHeight="1">
      <c r="B376" s="44"/>
    </row>
    <row r="377" ht="14.25" customHeight="1">
      <c r="B377" s="44"/>
    </row>
    <row r="378" ht="14.25" customHeight="1">
      <c r="B378" s="44"/>
    </row>
    <row r="379" ht="14.25" customHeight="1">
      <c r="B379" s="44"/>
    </row>
    <row r="380" ht="14.25" customHeight="1">
      <c r="B380" s="44"/>
    </row>
    <row r="381" ht="14.25" customHeight="1">
      <c r="B381" s="44"/>
    </row>
    <row r="382" ht="14.25" customHeight="1">
      <c r="B382" s="44"/>
    </row>
    <row r="383" ht="14.25" customHeight="1">
      <c r="B383" s="44"/>
    </row>
    <row r="384" ht="14.25" customHeight="1">
      <c r="B384" s="44"/>
    </row>
    <row r="385" ht="14.25" customHeight="1">
      <c r="B385" s="44"/>
    </row>
    <row r="386" ht="14.25" customHeight="1">
      <c r="B386" s="44"/>
    </row>
    <row r="387" ht="14.25" customHeight="1">
      <c r="B387" s="44"/>
    </row>
    <row r="388" ht="14.25" customHeight="1">
      <c r="B388" s="44"/>
    </row>
    <row r="389" ht="14.25" customHeight="1">
      <c r="B389" s="44"/>
    </row>
    <row r="390" ht="14.25" customHeight="1">
      <c r="B390" s="44"/>
    </row>
    <row r="391" ht="14.25" customHeight="1">
      <c r="B391" s="44"/>
    </row>
    <row r="392" ht="14.25" customHeight="1">
      <c r="B392" s="44"/>
    </row>
    <row r="393" ht="14.25" customHeight="1">
      <c r="B393" s="44"/>
    </row>
    <row r="394" ht="14.25" customHeight="1">
      <c r="B394" s="44"/>
    </row>
    <row r="395" ht="14.25" customHeight="1">
      <c r="B395" s="44"/>
    </row>
    <row r="396" ht="14.25" customHeight="1">
      <c r="B396" s="44"/>
    </row>
    <row r="397" ht="14.25" customHeight="1">
      <c r="B397" s="44"/>
    </row>
    <row r="398" ht="14.25" customHeight="1">
      <c r="B398" s="44"/>
    </row>
    <row r="399" ht="14.25" customHeight="1">
      <c r="B399" s="44"/>
    </row>
    <row r="400" ht="14.25" customHeight="1">
      <c r="B400" s="44"/>
    </row>
    <row r="401" ht="14.25" customHeight="1">
      <c r="B401" s="44"/>
    </row>
    <row r="402" ht="14.25" customHeight="1">
      <c r="B402" s="44"/>
    </row>
    <row r="403" ht="14.25" customHeight="1">
      <c r="B403" s="44"/>
    </row>
    <row r="404" ht="14.25" customHeight="1">
      <c r="B404" s="44"/>
    </row>
    <row r="405" ht="14.25" customHeight="1">
      <c r="B405" s="44"/>
    </row>
    <row r="406" ht="14.25" customHeight="1">
      <c r="B406" s="44"/>
    </row>
    <row r="407" ht="14.25" customHeight="1">
      <c r="B407" s="44"/>
    </row>
    <row r="408" ht="14.25" customHeight="1">
      <c r="B408" s="44"/>
    </row>
    <row r="409" ht="14.25" customHeight="1">
      <c r="B409" s="44"/>
    </row>
    <row r="410" ht="14.25" customHeight="1">
      <c r="B410" s="44"/>
    </row>
    <row r="411" ht="14.25" customHeight="1">
      <c r="B411" s="44"/>
    </row>
    <row r="412" ht="14.25" customHeight="1">
      <c r="B412" s="44"/>
    </row>
    <row r="413" ht="14.25" customHeight="1">
      <c r="B413" s="44"/>
    </row>
    <row r="414" ht="14.25" customHeight="1">
      <c r="B414" s="44"/>
    </row>
    <row r="415" ht="14.25" customHeight="1">
      <c r="B415" s="44"/>
    </row>
    <row r="416" ht="14.25" customHeight="1">
      <c r="B416" s="44"/>
    </row>
    <row r="417" ht="14.25" customHeight="1">
      <c r="B417" s="44"/>
    </row>
    <row r="418" ht="14.25" customHeight="1">
      <c r="B418" s="44"/>
    </row>
    <row r="419" ht="14.25" customHeight="1">
      <c r="B419" s="44"/>
    </row>
    <row r="420" ht="14.25" customHeight="1">
      <c r="B420" s="44"/>
    </row>
    <row r="421" ht="14.25" customHeight="1">
      <c r="B421" s="44"/>
    </row>
    <row r="422" ht="14.25" customHeight="1">
      <c r="B422" s="44"/>
    </row>
    <row r="423" ht="14.25" customHeight="1">
      <c r="B423" s="44"/>
    </row>
    <row r="424" ht="14.25" customHeight="1">
      <c r="B424" s="44"/>
    </row>
    <row r="425" ht="14.25" customHeight="1">
      <c r="B425" s="44"/>
    </row>
    <row r="426" ht="14.25" customHeight="1">
      <c r="B426" s="44"/>
    </row>
    <row r="427" ht="14.25" customHeight="1">
      <c r="B427" s="44"/>
    </row>
    <row r="428" ht="14.25" customHeight="1">
      <c r="B428" s="44"/>
    </row>
    <row r="429" ht="14.25" customHeight="1">
      <c r="B429" s="44"/>
    </row>
    <row r="430" ht="14.25" customHeight="1">
      <c r="B430" s="44"/>
    </row>
    <row r="431" ht="14.25" customHeight="1">
      <c r="B431" s="44"/>
    </row>
    <row r="432" ht="14.25" customHeight="1">
      <c r="B432" s="44"/>
    </row>
    <row r="433" ht="14.25" customHeight="1">
      <c r="B433" s="44"/>
    </row>
    <row r="434" ht="14.25" customHeight="1">
      <c r="B434" s="44"/>
    </row>
    <row r="435" ht="14.25" customHeight="1">
      <c r="B435" s="44"/>
    </row>
    <row r="436" ht="14.25" customHeight="1">
      <c r="B436" s="44"/>
    </row>
    <row r="437" ht="14.25" customHeight="1">
      <c r="B437" s="44"/>
    </row>
    <row r="438" ht="14.25" customHeight="1">
      <c r="B438" s="44"/>
    </row>
    <row r="439" ht="14.25" customHeight="1">
      <c r="B439" s="44"/>
    </row>
    <row r="440" ht="14.25" customHeight="1">
      <c r="B440" s="44"/>
    </row>
    <row r="441" ht="14.25" customHeight="1">
      <c r="B441" s="44"/>
    </row>
    <row r="442" ht="14.25" customHeight="1">
      <c r="B442" s="44"/>
    </row>
    <row r="443" ht="14.25" customHeight="1">
      <c r="B443" s="44"/>
    </row>
    <row r="444" ht="14.25" customHeight="1">
      <c r="B444" s="44"/>
    </row>
    <row r="445" ht="14.25" customHeight="1">
      <c r="B445" s="44"/>
    </row>
    <row r="446" ht="14.25" customHeight="1">
      <c r="B446" s="44"/>
    </row>
    <row r="447" ht="14.25" customHeight="1">
      <c r="B447" s="44"/>
    </row>
    <row r="448" ht="14.25" customHeight="1">
      <c r="B448" s="44"/>
    </row>
    <row r="449" ht="14.25" customHeight="1">
      <c r="B449" s="44"/>
    </row>
    <row r="450" ht="14.25" customHeight="1">
      <c r="B450" s="44"/>
    </row>
    <row r="451" ht="14.25" customHeight="1">
      <c r="B451" s="44"/>
    </row>
    <row r="452" ht="14.25" customHeight="1">
      <c r="B452" s="44"/>
    </row>
    <row r="453" ht="14.25" customHeight="1">
      <c r="B453" s="44"/>
    </row>
    <row r="454" ht="14.25" customHeight="1">
      <c r="B454" s="44"/>
    </row>
    <row r="455" ht="14.25" customHeight="1">
      <c r="B455" s="44"/>
    </row>
    <row r="456" ht="14.25" customHeight="1">
      <c r="B456" s="44"/>
    </row>
    <row r="457" ht="14.25" customHeight="1">
      <c r="B457" s="44"/>
    </row>
    <row r="458" ht="14.25" customHeight="1">
      <c r="B458" s="44"/>
    </row>
    <row r="459" ht="14.25" customHeight="1">
      <c r="B459" s="44"/>
    </row>
    <row r="460" ht="14.25" customHeight="1">
      <c r="B460" s="44"/>
    </row>
    <row r="461" ht="14.25" customHeight="1">
      <c r="B461" s="44"/>
    </row>
    <row r="462" ht="14.25" customHeight="1">
      <c r="B462" s="44"/>
    </row>
    <row r="463" ht="14.25" customHeight="1">
      <c r="B463" s="44"/>
    </row>
    <row r="464" ht="14.25" customHeight="1">
      <c r="B464" s="44"/>
    </row>
    <row r="465" ht="14.25" customHeight="1">
      <c r="B465" s="44"/>
    </row>
    <row r="466" ht="14.25" customHeight="1">
      <c r="B466" s="44"/>
    </row>
    <row r="467" ht="14.25" customHeight="1">
      <c r="B467" s="44"/>
    </row>
    <row r="468" ht="14.25" customHeight="1">
      <c r="B468" s="44"/>
    </row>
    <row r="469" ht="14.25" customHeight="1">
      <c r="B469" s="44"/>
    </row>
    <row r="470" ht="14.25" customHeight="1">
      <c r="B470" s="44"/>
    </row>
    <row r="471" ht="14.25" customHeight="1">
      <c r="B471" s="44"/>
    </row>
    <row r="472" ht="14.25" customHeight="1">
      <c r="B472" s="44"/>
    </row>
    <row r="473" ht="14.25" customHeight="1">
      <c r="B473" s="44"/>
    </row>
    <row r="474" ht="14.25" customHeight="1">
      <c r="B474" s="44"/>
    </row>
    <row r="475" ht="14.25" customHeight="1">
      <c r="B475" s="44"/>
    </row>
    <row r="476" ht="14.25" customHeight="1">
      <c r="B476" s="44"/>
    </row>
    <row r="477" ht="14.25" customHeight="1">
      <c r="B477" s="44"/>
    </row>
    <row r="478" ht="14.25" customHeight="1">
      <c r="B478" s="44"/>
    </row>
    <row r="479" ht="14.25" customHeight="1">
      <c r="B479" s="44"/>
    </row>
    <row r="480" ht="14.25" customHeight="1">
      <c r="B480" s="44"/>
    </row>
    <row r="481" ht="14.25" customHeight="1">
      <c r="B481" s="44"/>
    </row>
    <row r="482" ht="14.25" customHeight="1">
      <c r="B482" s="44"/>
    </row>
    <row r="483" ht="14.25" customHeight="1">
      <c r="B483" s="44"/>
    </row>
    <row r="484" ht="14.25" customHeight="1">
      <c r="B484" s="44"/>
    </row>
    <row r="485" ht="14.25" customHeight="1">
      <c r="B485" s="44"/>
    </row>
    <row r="486" ht="14.25" customHeight="1">
      <c r="B486" s="44"/>
    </row>
    <row r="487" ht="14.25" customHeight="1">
      <c r="B487" s="44"/>
    </row>
    <row r="488" ht="14.25" customHeight="1">
      <c r="B488" s="44"/>
    </row>
    <row r="489" ht="14.25" customHeight="1">
      <c r="B489" s="44"/>
    </row>
    <row r="490" ht="14.25" customHeight="1">
      <c r="B490" s="44"/>
    </row>
    <row r="491" ht="14.25" customHeight="1">
      <c r="B491" s="44"/>
    </row>
    <row r="492" ht="14.25" customHeight="1">
      <c r="B492" s="44"/>
    </row>
    <row r="493" ht="14.25" customHeight="1">
      <c r="B493" s="44"/>
    </row>
    <row r="494" ht="14.25" customHeight="1">
      <c r="B494" s="44"/>
    </row>
    <row r="495" ht="14.25" customHeight="1">
      <c r="B495" s="44"/>
    </row>
    <row r="496" ht="14.25" customHeight="1">
      <c r="B496" s="44"/>
    </row>
    <row r="497" ht="14.25" customHeight="1">
      <c r="B497" s="44"/>
    </row>
    <row r="498" ht="14.25" customHeight="1">
      <c r="B498" s="44"/>
    </row>
    <row r="499" ht="14.25" customHeight="1">
      <c r="B499" s="44"/>
    </row>
    <row r="500" ht="14.25" customHeight="1">
      <c r="B500" s="44"/>
    </row>
    <row r="501" ht="14.25" customHeight="1">
      <c r="B501" s="44"/>
    </row>
    <row r="502" ht="14.25" customHeight="1">
      <c r="B502" s="44"/>
    </row>
    <row r="503" ht="14.25" customHeight="1">
      <c r="B503" s="44"/>
    </row>
    <row r="504" ht="14.25" customHeight="1">
      <c r="B504" s="44"/>
    </row>
    <row r="505" ht="14.25" customHeight="1">
      <c r="B505" s="44"/>
    </row>
    <row r="506" ht="14.25" customHeight="1">
      <c r="B506" s="44"/>
    </row>
    <row r="507" ht="14.25" customHeight="1">
      <c r="B507" s="44"/>
    </row>
    <row r="508" ht="14.25" customHeight="1">
      <c r="B508" s="44"/>
    </row>
    <row r="509" ht="14.25" customHeight="1">
      <c r="B509" s="44"/>
    </row>
    <row r="510" ht="14.25" customHeight="1">
      <c r="B510" s="44"/>
    </row>
    <row r="511" ht="14.25" customHeight="1">
      <c r="B511" s="44"/>
    </row>
    <row r="512" ht="14.25" customHeight="1">
      <c r="B512" s="44"/>
    </row>
    <row r="513" ht="14.25" customHeight="1">
      <c r="B513" s="44"/>
    </row>
    <row r="514" ht="14.25" customHeight="1">
      <c r="B514" s="44"/>
    </row>
    <row r="515" ht="14.25" customHeight="1">
      <c r="B515" s="44"/>
    </row>
    <row r="516" ht="14.25" customHeight="1">
      <c r="B516" s="44"/>
    </row>
    <row r="517" ht="14.25" customHeight="1">
      <c r="B517" s="44"/>
    </row>
    <row r="518" ht="14.25" customHeight="1">
      <c r="B518" s="44"/>
    </row>
    <row r="519" ht="14.25" customHeight="1">
      <c r="B519" s="44"/>
    </row>
    <row r="520" ht="14.25" customHeight="1">
      <c r="B520" s="44"/>
    </row>
    <row r="521" ht="14.25" customHeight="1">
      <c r="B521" s="44"/>
    </row>
    <row r="522" ht="14.25" customHeight="1">
      <c r="B522" s="44"/>
    </row>
    <row r="523" ht="14.25" customHeight="1">
      <c r="B523" s="44"/>
    </row>
    <row r="524" ht="14.25" customHeight="1">
      <c r="B524" s="44"/>
    </row>
    <row r="525" ht="14.25" customHeight="1">
      <c r="B525" s="44"/>
    </row>
    <row r="526" ht="14.25" customHeight="1">
      <c r="B526" s="44"/>
    </row>
    <row r="527" ht="14.25" customHeight="1">
      <c r="B527" s="44"/>
    </row>
    <row r="528" ht="14.25" customHeight="1">
      <c r="B528" s="44"/>
    </row>
    <row r="529" ht="14.25" customHeight="1">
      <c r="B529" s="44"/>
    </row>
    <row r="530" ht="14.25" customHeight="1">
      <c r="B530" s="44"/>
    </row>
    <row r="531" ht="14.25" customHeight="1">
      <c r="B531" s="44"/>
    </row>
    <row r="532" ht="14.25" customHeight="1">
      <c r="B532" s="44"/>
    </row>
    <row r="533" ht="14.25" customHeight="1">
      <c r="B533" s="44"/>
    </row>
    <row r="534" ht="14.25" customHeight="1">
      <c r="B534" s="44"/>
    </row>
    <row r="535" ht="14.25" customHeight="1">
      <c r="B535" s="44"/>
    </row>
    <row r="536" ht="14.25" customHeight="1">
      <c r="B536" s="44"/>
    </row>
    <row r="537" ht="14.25" customHeight="1">
      <c r="B537" s="44"/>
    </row>
    <row r="538" ht="14.25" customHeight="1">
      <c r="B538" s="44"/>
    </row>
    <row r="539" ht="14.25" customHeight="1">
      <c r="B539" s="44"/>
    </row>
    <row r="540" ht="14.25" customHeight="1">
      <c r="B540" s="44"/>
    </row>
    <row r="541" ht="14.25" customHeight="1">
      <c r="B541" s="44"/>
    </row>
    <row r="542" ht="14.25" customHeight="1">
      <c r="B542" s="44"/>
    </row>
    <row r="543" ht="14.25" customHeight="1">
      <c r="B543" s="44"/>
    </row>
    <row r="544" ht="14.25" customHeight="1">
      <c r="B544" s="44"/>
    </row>
    <row r="545" ht="14.25" customHeight="1">
      <c r="B545" s="44"/>
    </row>
    <row r="546" ht="14.25" customHeight="1">
      <c r="B546" s="44"/>
    </row>
    <row r="547" ht="14.25" customHeight="1">
      <c r="B547" s="44"/>
    </row>
    <row r="548" ht="14.25" customHeight="1">
      <c r="B548" s="44"/>
    </row>
    <row r="549" ht="14.25" customHeight="1">
      <c r="B549" s="44"/>
    </row>
    <row r="550" ht="14.25" customHeight="1">
      <c r="B550" s="44"/>
    </row>
    <row r="551" ht="14.25" customHeight="1">
      <c r="B551" s="44"/>
    </row>
    <row r="552" ht="14.25" customHeight="1">
      <c r="B552" s="44"/>
    </row>
    <row r="553" ht="14.25" customHeight="1">
      <c r="B553" s="44"/>
    </row>
    <row r="554" ht="14.25" customHeight="1">
      <c r="B554" s="44"/>
    </row>
    <row r="555" ht="14.25" customHeight="1">
      <c r="B555" s="44"/>
    </row>
    <row r="556" ht="14.25" customHeight="1">
      <c r="B556" s="44"/>
    </row>
    <row r="557" ht="14.25" customHeight="1">
      <c r="B557" s="44"/>
    </row>
    <row r="558" ht="14.25" customHeight="1">
      <c r="B558" s="44"/>
    </row>
    <row r="559" ht="14.25" customHeight="1">
      <c r="B559" s="44"/>
    </row>
    <row r="560" ht="14.25" customHeight="1">
      <c r="B560" s="44"/>
    </row>
    <row r="561" ht="14.25" customHeight="1">
      <c r="B561" s="44"/>
    </row>
    <row r="562" ht="14.25" customHeight="1">
      <c r="B562" s="44"/>
    </row>
    <row r="563" ht="14.25" customHeight="1">
      <c r="B563" s="44"/>
    </row>
    <row r="564" ht="14.25" customHeight="1">
      <c r="B564" s="44"/>
    </row>
    <row r="565" ht="14.25" customHeight="1">
      <c r="B565" s="44"/>
    </row>
    <row r="566" ht="14.25" customHeight="1">
      <c r="B566" s="44"/>
    </row>
    <row r="567" ht="14.25" customHeight="1">
      <c r="B567" s="44"/>
    </row>
    <row r="568" ht="14.25" customHeight="1">
      <c r="B568" s="44"/>
    </row>
    <row r="569" ht="14.25" customHeight="1">
      <c r="B569" s="44"/>
    </row>
    <row r="570" ht="14.25" customHeight="1">
      <c r="B570" s="44"/>
    </row>
    <row r="571" ht="14.25" customHeight="1">
      <c r="B571" s="44"/>
    </row>
    <row r="572" ht="14.25" customHeight="1">
      <c r="B572" s="44"/>
    </row>
    <row r="573" ht="14.25" customHeight="1">
      <c r="B573" s="44"/>
    </row>
    <row r="574" ht="14.25" customHeight="1">
      <c r="B574" s="44"/>
    </row>
    <row r="575" ht="14.25" customHeight="1">
      <c r="B575" s="44"/>
    </row>
    <row r="576" ht="14.25" customHeight="1">
      <c r="B576" s="44"/>
    </row>
    <row r="577" ht="14.25" customHeight="1">
      <c r="B577" s="44"/>
    </row>
    <row r="578" ht="14.25" customHeight="1">
      <c r="B578" s="44"/>
    </row>
    <row r="579" ht="14.25" customHeight="1">
      <c r="B579" s="44"/>
    </row>
    <row r="580" ht="14.25" customHeight="1">
      <c r="B580" s="44"/>
    </row>
    <row r="581" ht="14.25" customHeight="1">
      <c r="B581" s="44"/>
    </row>
    <row r="582" ht="14.25" customHeight="1">
      <c r="B582" s="44"/>
    </row>
    <row r="583" ht="14.25" customHeight="1">
      <c r="B583" s="44"/>
    </row>
    <row r="584" ht="14.25" customHeight="1">
      <c r="B584" s="44"/>
    </row>
    <row r="585" ht="14.25" customHeight="1">
      <c r="B585" s="44"/>
    </row>
    <row r="586" ht="14.25" customHeight="1">
      <c r="B586" s="44"/>
    </row>
    <row r="587" ht="14.25" customHeight="1">
      <c r="B587" s="44"/>
    </row>
    <row r="588" ht="14.25" customHeight="1">
      <c r="B588" s="44"/>
    </row>
    <row r="589" ht="14.25" customHeight="1">
      <c r="B589" s="44"/>
    </row>
    <row r="590" ht="14.25" customHeight="1">
      <c r="B590" s="44"/>
    </row>
    <row r="591" ht="14.25" customHeight="1">
      <c r="B591" s="44"/>
    </row>
    <row r="592" ht="14.25" customHeight="1">
      <c r="B592" s="44"/>
    </row>
    <row r="593" ht="14.25" customHeight="1">
      <c r="B593" s="44"/>
    </row>
    <row r="594" ht="14.25" customHeight="1">
      <c r="B594" s="44"/>
    </row>
    <row r="595" ht="14.25" customHeight="1">
      <c r="B595" s="44"/>
    </row>
    <row r="596" ht="14.25" customHeight="1">
      <c r="B596" s="44"/>
    </row>
    <row r="597" ht="14.25" customHeight="1">
      <c r="B597" s="44"/>
    </row>
    <row r="598" ht="14.25" customHeight="1">
      <c r="B598" s="44"/>
    </row>
    <row r="599" ht="14.25" customHeight="1">
      <c r="B599" s="44"/>
    </row>
    <row r="600" ht="14.25" customHeight="1">
      <c r="B600" s="44"/>
    </row>
    <row r="601" ht="14.25" customHeight="1">
      <c r="B601" s="44"/>
    </row>
    <row r="602" ht="14.25" customHeight="1">
      <c r="B602" s="44"/>
    </row>
    <row r="603" ht="14.25" customHeight="1">
      <c r="B603" s="44"/>
    </row>
    <row r="604" ht="14.25" customHeight="1">
      <c r="B604" s="44"/>
    </row>
    <row r="605" ht="14.25" customHeight="1">
      <c r="B605" s="44"/>
    </row>
    <row r="606" ht="14.25" customHeight="1">
      <c r="B606" s="44"/>
    </row>
    <row r="607" ht="14.25" customHeight="1">
      <c r="B607" s="44"/>
    </row>
    <row r="608" ht="14.25" customHeight="1">
      <c r="B608" s="44"/>
    </row>
    <row r="609" ht="14.25" customHeight="1">
      <c r="B609" s="44"/>
    </row>
    <row r="610" ht="14.25" customHeight="1">
      <c r="B610" s="44"/>
    </row>
    <row r="611" ht="14.25" customHeight="1">
      <c r="B611" s="44"/>
    </row>
    <row r="612" ht="14.25" customHeight="1">
      <c r="B612" s="44"/>
    </row>
    <row r="613" ht="14.25" customHeight="1">
      <c r="B613" s="44"/>
    </row>
    <row r="614" ht="14.25" customHeight="1">
      <c r="B614" s="44"/>
    </row>
    <row r="615" ht="14.25" customHeight="1">
      <c r="B615" s="44"/>
    </row>
    <row r="616" ht="14.25" customHeight="1">
      <c r="B616" s="44"/>
    </row>
    <row r="617" ht="14.25" customHeight="1">
      <c r="B617" s="44"/>
    </row>
    <row r="618" ht="14.25" customHeight="1">
      <c r="B618" s="44"/>
    </row>
    <row r="619" ht="14.25" customHeight="1">
      <c r="B619" s="44"/>
    </row>
    <row r="620" ht="14.25" customHeight="1">
      <c r="B620" s="44"/>
    </row>
    <row r="621" ht="14.25" customHeight="1">
      <c r="B621" s="44"/>
    </row>
    <row r="622" ht="14.25" customHeight="1">
      <c r="B622" s="44"/>
    </row>
    <row r="623" ht="14.25" customHeight="1">
      <c r="B623" s="44"/>
    </row>
    <row r="624" ht="14.25" customHeight="1">
      <c r="B624" s="44"/>
    </row>
    <row r="625" ht="14.25" customHeight="1">
      <c r="B625" s="44"/>
    </row>
    <row r="626" ht="14.25" customHeight="1">
      <c r="B626" s="44"/>
    </row>
    <row r="627" ht="14.25" customHeight="1">
      <c r="B627" s="44"/>
    </row>
    <row r="628" ht="14.25" customHeight="1">
      <c r="B628" s="44"/>
    </row>
    <row r="629" ht="14.25" customHeight="1">
      <c r="B629" s="44"/>
    </row>
    <row r="630" ht="14.25" customHeight="1">
      <c r="B630" s="44"/>
    </row>
    <row r="631" ht="14.25" customHeight="1">
      <c r="B631" s="44"/>
    </row>
    <row r="632" ht="14.25" customHeight="1">
      <c r="B632" s="44"/>
    </row>
    <row r="633" ht="14.25" customHeight="1">
      <c r="B633" s="44"/>
    </row>
    <row r="634" ht="14.25" customHeight="1">
      <c r="B634" s="44"/>
    </row>
    <row r="635" ht="14.25" customHeight="1">
      <c r="B635" s="44"/>
    </row>
    <row r="636" ht="14.25" customHeight="1">
      <c r="B636" s="44"/>
    </row>
    <row r="637" ht="14.25" customHeight="1">
      <c r="B637" s="44"/>
    </row>
    <row r="638" ht="14.25" customHeight="1">
      <c r="B638" s="44"/>
    </row>
    <row r="639" ht="14.25" customHeight="1">
      <c r="B639" s="44"/>
    </row>
    <row r="640" ht="14.25" customHeight="1">
      <c r="B640" s="44"/>
    </row>
    <row r="641" ht="14.25" customHeight="1">
      <c r="B641" s="44"/>
    </row>
    <row r="642" ht="14.25" customHeight="1">
      <c r="B642" s="44"/>
    </row>
    <row r="643" ht="14.25" customHeight="1">
      <c r="B643" s="44"/>
    </row>
    <row r="644" ht="14.25" customHeight="1">
      <c r="B644" s="44"/>
    </row>
    <row r="645" ht="14.25" customHeight="1">
      <c r="B645" s="44"/>
    </row>
    <row r="646" ht="14.25" customHeight="1">
      <c r="B646" s="44"/>
    </row>
    <row r="647" ht="14.25" customHeight="1">
      <c r="B647" s="44"/>
    </row>
    <row r="648" ht="14.25" customHeight="1">
      <c r="B648" s="44"/>
    </row>
    <row r="649" ht="14.25" customHeight="1">
      <c r="B649" s="44"/>
    </row>
    <row r="650" ht="14.25" customHeight="1">
      <c r="B650" s="44"/>
    </row>
    <row r="651" ht="14.25" customHeight="1">
      <c r="B651" s="44"/>
    </row>
    <row r="652" ht="14.25" customHeight="1">
      <c r="B652" s="44"/>
    </row>
    <row r="653" ht="14.25" customHeight="1">
      <c r="B653" s="44"/>
    </row>
    <row r="654" ht="14.25" customHeight="1">
      <c r="B654" s="44"/>
    </row>
    <row r="655" ht="14.25" customHeight="1">
      <c r="B655" s="44"/>
    </row>
    <row r="656" ht="14.25" customHeight="1">
      <c r="B656" s="44"/>
    </row>
    <row r="657" ht="14.25" customHeight="1">
      <c r="B657" s="44"/>
    </row>
    <row r="658" ht="14.25" customHeight="1">
      <c r="B658" s="44"/>
    </row>
    <row r="659" ht="14.25" customHeight="1">
      <c r="B659" s="44"/>
    </row>
    <row r="660" ht="14.25" customHeight="1">
      <c r="B660" s="44"/>
    </row>
    <row r="661" ht="14.25" customHeight="1">
      <c r="B661" s="44"/>
    </row>
    <row r="662" ht="14.25" customHeight="1">
      <c r="B662" s="44"/>
    </row>
    <row r="663" ht="14.25" customHeight="1">
      <c r="B663" s="44"/>
    </row>
    <row r="664" ht="14.25" customHeight="1">
      <c r="B664" s="44"/>
    </row>
    <row r="665" ht="14.25" customHeight="1">
      <c r="B665" s="44"/>
    </row>
    <row r="666" ht="14.25" customHeight="1">
      <c r="B666" s="44"/>
    </row>
    <row r="667" ht="14.25" customHeight="1">
      <c r="B667" s="44"/>
    </row>
    <row r="668" ht="14.25" customHeight="1">
      <c r="B668" s="44"/>
    </row>
    <row r="669" ht="14.25" customHeight="1">
      <c r="B669" s="44"/>
    </row>
    <row r="670" ht="14.25" customHeight="1">
      <c r="B670" s="44"/>
    </row>
    <row r="671" ht="14.25" customHeight="1">
      <c r="B671" s="44"/>
    </row>
    <row r="672" ht="14.25" customHeight="1">
      <c r="B672" s="44"/>
    </row>
    <row r="673" ht="14.25" customHeight="1">
      <c r="B673" s="44"/>
    </row>
    <row r="674" ht="14.25" customHeight="1">
      <c r="B674" s="44"/>
    </row>
    <row r="675" ht="14.25" customHeight="1">
      <c r="B675" s="44"/>
    </row>
    <row r="676" ht="14.25" customHeight="1">
      <c r="B676" s="44"/>
    </row>
    <row r="677" ht="14.25" customHeight="1">
      <c r="B677" s="44"/>
    </row>
    <row r="678" ht="14.25" customHeight="1">
      <c r="B678" s="44"/>
    </row>
    <row r="679" ht="14.25" customHeight="1">
      <c r="B679" s="44"/>
    </row>
    <row r="680" ht="14.25" customHeight="1">
      <c r="B680" s="44"/>
    </row>
    <row r="681" ht="14.25" customHeight="1">
      <c r="B681" s="44"/>
    </row>
    <row r="682" ht="14.25" customHeight="1">
      <c r="B682" s="44"/>
    </row>
    <row r="683" ht="14.25" customHeight="1">
      <c r="B683" s="44"/>
    </row>
    <row r="684" ht="14.25" customHeight="1">
      <c r="B684" s="44"/>
    </row>
    <row r="685" ht="14.25" customHeight="1">
      <c r="B685" s="44"/>
    </row>
    <row r="686" ht="14.25" customHeight="1">
      <c r="B686" s="44"/>
    </row>
    <row r="687" ht="14.25" customHeight="1">
      <c r="B687" s="44"/>
    </row>
    <row r="688" ht="14.25" customHeight="1">
      <c r="B688" s="44"/>
    </row>
    <row r="689" ht="14.25" customHeight="1">
      <c r="B689" s="44"/>
    </row>
    <row r="690" ht="14.25" customHeight="1">
      <c r="B690" s="44"/>
    </row>
    <row r="691" ht="14.25" customHeight="1">
      <c r="B691" s="44"/>
    </row>
    <row r="692" ht="14.25" customHeight="1">
      <c r="B692" s="44"/>
    </row>
    <row r="693" ht="14.25" customHeight="1">
      <c r="B693" s="44"/>
    </row>
    <row r="694" ht="14.25" customHeight="1">
      <c r="B694" s="44"/>
    </row>
    <row r="695" ht="14.25" customHeight="1">
      <c r="B695" s="44"/>
    </row>
    <row r="696" ht="14.25" customHeight="1">
      <c r="B696" s="44"/>
    </row>
    <row r="697" ht="14.25" customHeight="1">
      <c r="B697" s="44"/>
    </row>
    <row r="698" ht="14.25" customHeight="1">
      <c r="B698" s="44"/>
    </row>
    <row r="699" ht="14.25" customHeight="1">
      <c r="B699" s="44"/>
    </row>
    <row r="700" ht="14.25" customHeight="1">
      <c r="B700" s="44"/>
    </row>
    <row r="701" ht="14.25" customHeight="1">
      <c r="B701" s="44"/>
    </row>
    <row r="702" ht="14.25" customHeight="1">
      <c r="B702" s="44"/>
    </row>
    <row r="703" ht="14.25" customHeight="1">
      <c r="B703" s="44"/>
    </row>
    <row r="704" ht="14.25" customHeight="1">
      <c r="B704" s="44"/>
    </row>
    <row r="705" ht="14.25" customHeight="1">
      <c r="B705" s="44"/>
    </row>
    <row r="706" ht="14.25" customHeight="1">
      <c r="B706" s="44"/>
    </row>
    <row r="707" ht="14.25" customHeight="1">
      <c r="B707" s="44"/>
    </row>
    <row r="708" ht="14.25" customHeight="1">
      <c r="B708" s="44"/>
    </row>
    <row r="709" ht="14.25" customHeight="1">
      <c r="B709" s="44"/>
    </row>
    <row r="710" ht="14.25" customHeight="1">
      <c r="B710" s="44"/>
    </row>
    <row r="711" ht="14.25" customHeight="1">
      <c r="B711" s="44"/>
    </row>
    <row r="712" ht="14.25" customHeight="1">
      <c r="B712" s="44"/>
    </row>
    <row r="713" ht="14.25" customHeight="1">
      <c r="B713" s="44"/>
    </row>
    <row r="714" ht="14.25" customHeight="1">
      <c r="B714" s="44"/>
    </row>
    <row r="715" ht="14.25" customHeight="1">
      <c r="B715" s="44"/>
    </row>
    <row r="716" ht="14.25" customHeight="1">
      <c r="B716" s="44"/>
    </row>
    <row r="717" ht="14.25" customHeight="1">
      <c r="B717" s="44"/>
    </row>
    <row r="718" ht="14.25" customHeight="1">
      <c r="B718" s="44"/>
    </row>
    <row r="719" ht="14.25" customHeight="1">
      <c r="B719" s="44"/>
    </row>
    <row r="720" ht="14.25" customHeight="1">
      <c r="B720" s="44"/>
    </row>
    <row r="721" ht="14.25" customHeight="1">
      <c r="B721" s="44"/>
    </row>
    <row r="722" ht="14.25" customHeight="1">
      <c r="B722" s="44"/>
    </row>
    <row r="723" ht="14.25" customHeight="1">
      <c r="B723" s="44"/>
    </row>
    <row r="724" ht="14.25" customHeight="1">
      <c r="B724" s="44"/>
    </row>
    <row r="725" ht="14.25" customHeight="1">
      <c r="B725" s="44"/>
    </row>
    <row r="726" ht="14.25" customHeight="1">
      <c r="B726" s="44"/>
    </row>
    <row r="727" ht="14.25" customHeight="1">
      <c r="B727" s="44"/>
    </row>
    <row r="728" ht="14.25" customHeight="1">
      <c r="B728" s="44"/>
    </row>
    <row r="729" ht="14.25" customHeight="1">
      <c r="B729" s="44"/>
    </row>
    <row r="730" ht="14.25" customHeight="1">
      <c r="B730" s="44"/>
    </row>
    <row r="731" ht="14.25" customHeight="1">
      <c r="B731" s="44"/>
    </row>
    <row r="732" ht="14.25" customHeight="1">
      <c r="B732" s="44"/>
    </row>
    <row r="733" ht="14.25" customHeight="1">
      <c r="B733" s="44"/>
    </row>
    <row r="734" ht="14.25" customHeight="1">
      <c r="B734" s="44"/>
    </row>
    <row r="735" ht="14.25" customHeight="1">
      <c r="B735" s="44"/>
    </row>
    <row r="736" ht="14.25" customHeight="1">
      <c r="B736" s="44"/>
    </row>
    <row r="737" ht="14.25" customHeight="1">
      <c r="B737" s="44"/>
    </row>
    <row r="738" ht="14.25" customHeight="1">
      <c r="B738" s="44"/>
    </row>
    <row r="739" ht="14.25" customHeight="1">
      <c r="B739" s="44"/>
    </row>
    <row r="740" ht="14.25" customHeight="1">
      <c r="B740" s="44"/>
    </row>
    <row r="741" ht="14.25" customHeight="1">
      <c r="B741" s="44"/>
    </row>
    <row r="742" ht="14.25" customHeight="1">
      <c r="B742" s="44"/>
    </row>
    <row r="743" ht="14.25" customHeight="1">
      <c r="B743" s="44"/>
    </row>
    <row r="744" ht="14.25" customHeight="1">
      <c r="B744" s="44"/>
    </row>
    <row r="745" ht="14.25" customHeight="1">
      <c r="B745" s="44"/>
    </row>
    <row r="746" ht="14.25" customHeight="1">
      <c r="B746" s="44"/>
    </row>
    <row r="747" ht="14.25" customHeight="1">
      <c r="B747" s="44"/>
    </row>
    <row r="748" ht="14.25" customHeight="1">
      <c r="B748" s="44"/>
    </row>
    <row r="749" ht="14.25" customHeight="1">
      <c r="B749" s="44"/>
    </row>
    <row r="750" ht="14.25" customHeight="1">
      <c r="B750" s="44"/>
    </row>
    <row r="751" ht="14.25" customHeight="1">
      <c r="B751" s="44"/>
    </row>
    <row r="752" ht="14.25" customHeight="1">
      <c r="B752" s="44"/>
    </row>
    <row r="753" ht="14.25" customHeight="1">
      <c r="B753" s="44"/>
    </row>
    <row r="754" ht="14.25" customHeight="1">
      <c r="B754" s="44"/>
    </row>
    <row r="755" ht="14.25" customHeight="1">
      <c r="B755" s="44"/>
    </row>
    <row r="756" ht="14.25" customHeight="1">
      <c r="B756" s="44"/>
    </row>
    <row r="757" ht="14.25" customHeight="1">
      <c r="B757" s="44"/>
    </row>
    <row r="758" ht="14.25" customHeight="1">
      <c r="B758" s="44"/>
    </row>
    <row r="759" ht="14.25" customHeight="1">
      <c r="B759" s="44"/>
    </row>
    <row r="760" ht="14.25" customHeight="1">
      <c r="B760" s="44"/>
    </row>
    <row r="761" ht="14.25" customHeight="1">
      <c r="B761" s="44"/>
    </row>
    <row r="762" ht="14.25" customHeight="1">
      <c r="B762" s="44"/>
    </row>
    <row r="763" ht="14.25" customHeight="1">
      <c r="B763" s="44"/>
    </row>
    <row r="764" ht="14.25" customHeight="1">
      <c r="B764" s="44"/>
    </row>
    <row r="765" ht="14.25" customHeight="1">
      <c r="B765" s="44"/>
    </row>
    <row r="766" ht="14.25" customHeight="1">
      <c r="B766" s="44"/>
    </row>
    <row r="767" ht="14.25" customHeight="1">
      <c r="B767" s="44"/>
    </row>
    <row r="768" ht="14.25" customHeight="1">
      <c r="B768" s="44"/>
    </row>
    <row r="769" ht="14.25" customHeight="1">
      <c r="B769" s="44"/>
    </row>
    <row r="770" ht="14.25" customHeight="1">
      <c r="B770" s="44"/>
    </row>
    <row r="771" ht="14.25" customHeight="1">
      <c r="B771" s="44"/>
    </row>
    <row r="772" ht="14.25" customHeight="1">
      <c r="B772" s="44"/>
    </row>
    <row r="773" ht="14.25" customHeight="1">
      <c r="B773" s="44"/>
    </row>
    <row r="774" ht="14.25" customHeight="1">
      <c r="B774" s="44"/>
    </row>
    <row r="775" ht="14.25" customHeight="1">
      <c r="B775" s="44"/>
    </row>
    <row r="776" ht="14.25" customHeight="1">
      <c r="B776" s="44"/>
    </row>
    <row r="777" ht="14.25" customHeight="1">
      <c r="B777" s="44"/>
    </row>
    <row r="778" ht="14.25" customHeight="1">
      <c r="B778" s="44"/>
    </row>
    <row r="779" ht="14.25" customHeight="1">
      <c r="B779" s="44"/>
    </row>
    <row r="780" ht="14.25" customHeight="1">
      <c r="B780" s="44"/>
    </row>
    <row r="781" ht="14.25" customHeight="1">
      <c r="B781" s="44"/>
    </row>
    <row r="782" ht="14.25" customHeight="1">
      <c r="B782" s="44"/>
    </row>
    <row r="783" ht="14.25" customHeight="1">
      <c r="B783" s="44"/>
    </row>
    <row r="784" ht="14.25" customHeight="1">
      <c r="B784" s="44"/>
    </row>
    <row r="785" ht="14.25" customHeight="1">
      <c r="B785" s="44"/>
    </row>
    <row r="786" ht="14.25" customHeight="1">
      <c r="B786" s="44"/>
    </row>
    <row r="787" ht="14.25" customHeight="1">
      <c r="B787" s="44"/>
    </row>
    <row r="788" ht="14.25" customHeight="1">
      <c r="B788" s="44"/>
    </row>
    <row r="789" ht="14.25" customHeight="1">
      <c r="B789" s="44"/>
    </row>
    <row r="790" ht="14.25" customHeight="1">
      <c r="B790" s="44"/>
    </row>
    <row r="791" ht="14.25" customHeight="1">
      <c r="B791" s="44"/>
    </row>
    <row r="792" ht="14.25" customHeight="1">
      <c r="B792" s="44"/>
    </row>
    <row r="793" ht="14.25" customHeight="1">
      <c r="B793" s="44"/>
    </row>
    <row r="794" ht="14.25" customHeight="1">
      <c r="B794" s="44"/>
    </row>
    <row r="795" ht="14.25" customHeight="1">
      <c r="B795" s="44"/>
    </row>
    <row r="796" ht="14.25" customHeight="1">
      <c r="B796" s="44"/>
    </row>
    <row r="797" ht="14.25" customHeight="1">
      <c r="B797" s="44"/>
    </row>
    <row r="798" ht="14.25" customHeight="1">
      <c r="B798" s="44"/>
    </row>
    <row r="799" ht="14.25" customHeight="1">
      <c r="B799" s="44"/>
    </row>
    <row r="800" ht="14.25" customHeight="1">
      <c r="B800" s="44"/>
    </row>
    <row r="801" ht="14.25" customHeight="1">
      <c r="B801" s="44"/>
    </row>
    <row r="802" ht="14.25" customHeight="1">
      <c r="B802" s="44"/>
    </row>
    <row r="803" ht="14.25" customHeight="1">
      <c r="B803" s="44"/>
    </row>
    <row r="804" ht="14.25" customHeight="1">
      <c r="B804" s="44"/>
    </row>
    <row r="805" ht="14.25" customHeight="1">
      <c r="B805" s="44"/>
    </row>
    <row r="806" ht="14.25" customHeight="1">
      <c r="B806" s="44"/>
    </row>
    <row r="807" ht="14.25" customHeight="1">
      <c r="B807" s="44"/>
    </row>
    <row r="808" ht="14.25" customHeight="1">
      <c r="B808" s="44"/>
    </row>
    <row r="809" ht="14.25" customHeight="1">
      <c r="B809" s="44"/>
    </row>
    <row r="810" ht="14.25" customHeight="1">
      <c r="B810" s="44"/>
    </row>
    <row r="811" ht="14.25" customHeight="1">
      <c r="B811" s="44"/>
    </row>
    <row r="812" ht="14.25" customHeight="1">
      <c r="B812" s="44"/>
    </row>
    <row r="813" ht="14.25" customHeight="1">
      <c r="B813" s="44"/>
    </row>
    <row r="814" ht="14.25" customHeight="1">
      <c r="B814" s="44"/>
    </row>
    <row r="815" ht="14.25" customHeight="1">
      <c r="B815" s="44"/>
    </row>
    <row r="816" ht="14.25" customHeight="1">
      <c r="B816" s="44"/>
    </row>
    <row r="817" ht="14.25" customHeight="1">
      <c r="B817" s="44"/>
    </row>
    <row r="818" ht="14.25" customHeight="1">
      <c r="B818" s="44"/>
    </row>
    <row r="819" ht="14.25" customHeight="1">
      <c r="B819" s="44"/>
    </row>
    <row r="820" ht="14.25" customHeight="1">
      <c r="B820" s="44"/>
    </row>
    <row r="821" ht="14.25" customHeight="1">
      <c r="B821" s="44"/>
    </row>
    <row r="822" ht="14.25" customHeight="1">
      <c r="B822" s="44"/>
    </row>
    <row r="823" ht="14.25" customHeight="1">
      <c r="B823" s="44"/>
    </row>
    <row r="824" ht="14.25" customHeight="1">
      <c r="B824" s="44"/>
    </row>
    <row r="825" ht="14.25" customHeight="1">
      <c r="B825" s="44"/>
    </row>
    <row r="826" ht="14.25" customHeight="1">
      <c r="B826" s="44"/>
    </row>
    <row r="827" ht="14.25" customHeight="1">
      <c r="B827" s="44"/>
    </row>
    <row r="828" ht="14.25" customHeight="1">
      <c r="B828" s="44"/>
    </row>
    <row r="829" ht="14.25" customHeight="1">
      <c r="B829" s="44"/>
    </row>
    <row r="830" ht="14.25" customHeight="1">
      <c r="B830" s="44"/>
    </row>
    <row r="831" ht="14.25" customHeight="1">
      <c r="B831" s="44"/>
    </row>
    <row r="832" ht="14.25" customHeight="1">
      <c r="B832" s="44"/>
    </row>
    <row r="833" ht="14.25" customHeight="1">
      <c r="B833" s="44"/>
    </row>
    <row r="834" ht="14.25" customHeight="1">
      <c r="B834" s="44"/>
    </row>
    <row r="835" ht="14.25" customHeight="1">
      <c r="B835" s="44"/>
    </row>
    <row r="836" ht="14.25" customHeight="1">
      <c r="B836" s="44"/>
    </row>
    <row r="837" ht="14.25" customHeight="1">
      <c r="B837" s="44"/>
    </row>
    <row r="838" ht="14.25" customHeight="1">
      <c r="B838" s="44"/>
    </row>
    <row r="839" ht="14.25" customHeight="1">
      <c r="B839" s="44"/>
    </row>
    <row r="840" ht="14.25" customHeight="1">
      <c r="B840" s="44"/>
    </row>
    <row r="841" ht="14.25" customHeight="1">
      <c r="B841" s="44"/>
    </row>
    <row r="842" ht="14.25" customHeight="1">
      <c r="B842" s="44"/>
    </row>
    <row r="843" ht="14.25" customHeight="1">
      <c r="B843" s="44"/>
    </row>
    <row r="844" ht="14.25" customHeight="1">
      <c r="B844" s="44"/>
    </row>
    <row r="845" ht="14.25" customHeight="1">
      <c r="B845" s="44"/>
    </row>
    <row r="846" ht="14.25" customHeight="1">
      <c r="B846" s="44"/>
    </row>
    <row r="847" ht="14.25" customHeight="1">
      <c r="B847" s="44"/>
    </row>
    <row r="848" ht="14.25" customHeight="1">
      <c r="B848" s="44"/>
    </row>
    <row r="849" ht="14.25" customHeight="1">
      <c r="B849" s="44"/>
    </row>
    <row r="850" ht="14.25" customHeight="1">
      <c r="B850" s="44"/>
    </row>
    <row r="851" ht="14.25" customHeight="1">
      <c r="B851" s="44"/>
    </row>
    <row r="852" ht="14.25" customHeight="1">
      <c r="B852" s="44"/>
    </row>
    <row r="853" ht="14.25" customHeight="1">
      <c r="B853" s="44"/>
    </row>
    <row r="854" ht="14.25" customHeight="1">
      <c r="B854" s="44"/>
    </row>
    <row r="855" ht="14.25" customHeight="1">
      <c r="B855" s="44"/>
    </row>
    <row r="856" ht="14.25" customHeight="1">
      <c r="B856" s="44"/>
    </row>
    <row r="857" ht="14.25" customHeight="1">
      <c r="B857" s="44"/>
    </row>
    <row r="858" ht="14.25" customHeight="1">
      <c r="B858" s="44"/>
    </row>
    <row r="859" ht="14.25" customHeight="1">
      <c r="B859" s="44"/>
    </row>
    <row r="860" ht="14.25" customHeight="1">
      <c r="B860" s="44"/>
    </row>
    <row r="861" ht="14.25" customHeight="1">
      <c r="B861" s="44"/>
    </row>
    <row r="862" ht="14.25" customHeight="1">
      <c r="B862" s="44"/>
    </row>
    <row r="863" ht="14.25" customHeight="1">
      <c r="B863" s="44"/>
    </row>
    <row r="864" ht="14.25" customHeight="1">
      <c r="B864" s="44"/>
    </row>
    <row r="865" ht="14.25" customHeight="1">
      <c r="B865" s="44"/>
    </row>
    <row r="866" ht="14.25" customHeight="1">
      <c r="B866" s="44"/>
    </row>
    <row r="867" ht="14.25" customHeight="1">
      <c r="B867" s="44"/>
    </row>
    <row r="868" ht="14.25" customHeight="1">
      <c r="B868" s="44"/>
    </row>
    <row r="869" ht="14.25" customHeight="1">
      <c r="B869" s="44"/>
    </row>
    <row r="870" ht="14.25" customHeight="1">
      <c r="B870" s="44"/>
    </row>
    <row r="871" ht="14.25" customHeight="1">
      <c r="B871" s="44"/>
    </row>
    <row r="872" ht="14.25" customHeight="1">
      <c r="B872" s="44"/>
    </row>
    <row r="873" ht="14.25" customHeight="1">
      <c r="B873" s="44"/>
    </row>
    <row r="874" ht="14.25" customHeight="1">
      <c r="B874" s="44"/>
    </row>
    <row r="875" ht="14.25" customHeight="1">
      <c r="B875" s="44"/>
    </row>
    <row r="876" ht="14.25" customHeight="1">
      <c r="B876" s="44"/>
    </row>
    <row r="877" ht="14.25" customHeight="1">
      <c r="B877" s="44"/>
    </row>
    <row r="878" ht="14.25" customHeight="1">
      <c r="B878" s="44"/>
    </row>
    <row r="879" ht="14.25" customHeight="1">
      <c r="B879" s="44"/>
    </row>
    <row r="880" ht="14.25" customHeight="1">
      <c r="B880" s="44"/>
    </row>
    <row r="881" ht="14.25" customHeight="1">
      <c r="B881" s="44"/>
    </row>
    <row r="882" ht="14.25" customHeight="1">
      <c r="B882" s="44"/>
    </row>
    <row r="883" ht="14.25" customHeight="1">
      <c r="B883" s="44"/>
    </row>
    <row r="884" ht="14.25" customHeight="1">
      <c r="B884" s="44"/>
    </row>
    <row r="885" ht="14.25" customHeight="1">
      <c r="B885" s="44"/>
    </row>
    <row r="886" ht="14.25" customHeight="1">
      <c r="B886" s="44"/>
    </row>
    <row r="887" ht="14.25" customHeight="1">
      <c r="B887" s="44"/>
    </row>
    <row r="888" ht="14.25" customHeight="1">
      <c r="B888" s="44"/>
    </row>
    <row r="889" ht="14.25" customHeight="1">
      <c r="B889" s="44"/>
    </row>
    <row r="890" ht="14.25" customHeight="1">
      <c r="B890" s="44"/>
    </row>
    <row r="891" ht="14.25" customHeight="1">
      <c r="B891" s="44"/>
    </row>
    <row r="892" ht="14.25" customHeight="1">
      <c r="B892" s="44"/>
    </row>
    <row r="893" ht="14.25" customHeight="1">
      <c r="B893" s="44"/>
    </row>
    <row r="894" ht="14.25" customHeight="1">
      <c r="B894" s="44"/>
    </row>
    <row r="895" ht="14.25" customHeight="1">
      <c r="B895" s="44"/>
    </row>
    <row r="896" ht="14.25" customHeight="1">
      <c r="B896" s="44"/>
    </row>
    <row r="897" ht="14.25" customHeight="1">
      <c r="B897" s="44"/>
    </row>
    <row r="898" ht="14.25" customHeight="1">
      <c r="B898" s="44"/>
    </row>
    <row r="899" ht="14.25" customHeight="1">
      <c r="B899" s="44"/>
    </row>
    <row r="900" ht="14.25" customHeight="1">
      <c r="B900" s="44"/>
    </row>
    <row r="901" ht="14.25" customHeight="1">
      <c r="B901" s="44"/>
    </row>
    <row r="902" ht="14.25" customHeight="1">
      <c r="B902" s="44"/>
    </row>
    <row r="903" ht="14.25" customHeight="1">
      <c r="B903" s="44"/>
    </row>
    <row r="904" ht="14.25" customHeight="1">
      <c r="B904" s="44"/>
    </row>
    <row r="905" ht="14.25" customHeight="1">
      <c r="B905" s="44"/>
    </row>
    <row r="906" ht="14.25" customHeight="1">
      <c r="B906" s="44"/>
    </row>
    <row r="907" ht="14.25" customHeight="1">
      <c r="B907" s="44"/>
    </row>
    <row r="908" ht="14.25" customHeight="1">
      <c r="B908" s="44"/>
    </row>
    <row r="909" ht="14.25" customHeight="1">
      <c r="B909" s="44"/>
    </row>
    <row r="910" ht="14.25" customHeight="1">
      <c r="B910" s="44"/>
    </row>
    <row r="911" ht="14.25" customHeight="1">
      <c r="B911" s="44"/>
    </row>
    <row r="912" ht="14.25" customHeight="1">
      <c r="B912" s="44"/>
    </row>
    <row r="913" ht="14.25" customHeight="1">
      <c r="B913" s="44"/>
    </row>
    <row r="914" ht="14.25" customHeight="1">
      <c r="B914" s="44"/>
    </row>
    <row r="915" ht="14.25" customHeight="1">
      <c r="B915" s="44"/>
    </row>
    <row r="916" ht="14.25" customHeight="1">
      <c r="B916" s="44"/>
    </row>
    <row r="917" ht="14.25" customHeight="1">
      <c r="B917" s="44"/>
    </row>
    <row r="918" ht="14.25" customHeight="1">
      <c r="B918" s="44"/>
    </row>
    <row r="919" ht="14.25" customHeight="1">
      <c r="B919" s="44"/>
    </row>
    <row r="920" ht="14.25" customHeight="1">
      <c r="B920" s="44"/>
    </row>
    <row r="921" ht="14.25" customHeight="1">
      <c r="B921" s="44"/>
    </row>
    <row r="922" ht="14.25" customHeight="1">
      <c r="B922" s="44"/>
    </row>
    <row r="923" ht="14.25" customHeight="1">
      <c r="B923" s="44"/>
    </row>
    <row r="924" ht="14.25" customHeight="1">
      <c r="B924" s="44"/>
    </row>
    <row r="925" ht="14.25" customHeight="1">
      <c r="B925" s="44"/>
    </row>
    <row r="926" ht="14.25" customHeight="1">
      <c r="B926" s="44"/>
    </row>
    <row r="927" ht="14.25" customHeight="1">
      <c r="B927" s="44"/>
    </row>
    <row r="928" ht="14.25" customHeight="1">
      <c r="B928" s="44"/>
    </row>
    <row r="929" ht="14.25" customHeight="1">
      <c r="B929" s="44"/>
    </row>
    <row r="930" ht="14.25" customHeight="1">
      <c r="B930" s="44"/>
    </row>
    <row r="931" ht="14.25" customHeight="1">
      <c r="B931" s="44"/>
    </row>
    <row r="932" ht="14.25" customHeight="1">
      <c r="B932" s="44"/>
    </row>
    <row r="933" ht="14.25" customHeight="1">
      <c r="B933" s="44"/>
    </row>
    <row r="934" ht="14.25" customHeight="1">
      <c r="B934" s="44"/>
    </row>
    <row r="935" ht="14.25" customHeight="1">
      <c r="B935" s="44"/>
    </row>
    <row r="936" ht="14.25" customHeight="1">
      <c r="B936" s="44"/>
    </row>
    <row r="937" ht="14.25" customHeight="1">
      <c r="B937" s="44"/>
    </row>
    <row r="938" ht="14.25" customHeight="1">
      <c r="B938" s="44"/>
    </row>
    <row r="939" ht="14.25" customHeight="1">
      <c r="B939" s="44"/>
    </row>
    <row r="940" ht="14.25" customHeight="1">
      <c r="B940" s="44"/>
    </row>
    <row r="941" ht="14.25" customHeight="1">
      <c r="B941" s="44"/>
    </row>
    <row r="942" ht="14.25" customHeight="1">
      <c r="B942" s="44"/>
    </row>
    <row r="943" ht="14.25" customHeight="1">
      <c r="B943" s="44"/>
    </row>
    <row r="944" ht="14.25" customHeight="1">
      <c r="B944" s="44"/>
    </row>
    <row r="945" ht="14.25" customHeight="1">
      <c r="B945" s="44"/>
    </row>
    <row r="946" ht="14.25" customHeight="1">
      <c r="B946" s="44"/>
    </row>
    <row r="947" ht="14.25" customHeight="1">
      <c r="B947" s="44"/>
    </row>
    <row r="948" ht="14.25" customHeight="1">
      <c r="B948" s="44"/>
    </row>
    <row r="949" ht="14.25" customHeight="1">
      <c r="B949" s="44"/>
    </row>
    <row r="950" ht="14.25" customHeight="1">
      <c r="B950" s="44"/>
    </row>
    <row r="951" ht="14.25" customHeight="1">
      <c r="B951" s="44"/>
    </row>
    <row r="952" ht="14.25" customHeight="1">
      <c r="B952" s="44"/>
    </row>
    <row r="953" ht="14.25" customHeight="1">
      <c r="B953" s="44"/>
    </row>
    <row r="954" ht="14.25" customHeight="1">
      <c r="B954" s="44"/>
    </row>
    <row r="955" ht="14.25" customHeight="1">
      <c r="B955" s="44"/>
    </row>
    <row r="956" ht="14.25" customHeight="1">
      <c r="B956" s="44"/>
    </row>
    <row r="957" ht="14.25" customHeight="1">
      <c r="B957" s="44"/>
    </row>
    <row r="958" ht="14.25" customHeight="1">
      <c r="B958" s="44"/>
    </row>
    <row r="959" ht="14.25" customHeight="1">
      <c r="B959" s="44"/>
    </row>
    <row r="960" ht="14.25" customHeight="1">
      <c r="B960" s="44"/>
    </row>
    <row r="961" ht="14.25" customHeight="1">
      <c r="B961" s="44"/>
    </row>
    <row r="962" ht="14.25" customHeight="1">
      <c r="B962" s="44"/>
    </row>
    <row r="963" ht="14.25" customHeight="1">
      <c r="B963" s="44"/>
    </row>
    <row r="964" ht="14.25" customHeight="1">
      <c r="B964" s="44"/>
    </row>
    <row r="965" ht="14.25" customHeight="1">
      <c r="B965" s="44"/>
    </row>
    <row r="966" ht="14.25" customHeight="1">
      <c r="B966" s="44"/>
    </row>
    <row r="967" ht="14.25" customHeight="1">
      <c r="B967" s="44"/>
    </row>
    <row r="968" ht="14.25" customHeight="1">
      <c r="B968" s="44"/>
    </row>
    <row r="969" ht="14.25" customHeight="1">
      <c r="B969" s="44"/>
    </row>
    <row r="970" ht="14.25" customHeight="1">
      <c r="B970" s="44"/>
    </row>
    <row r="971" ht="14.25" customHeight="1">
      <c r="B971" s="44"/>
    </row>
    <row r="972" ht="14.25" customHeight="1">
      <c r="B972" s="44"/>
    </row>
    <row r="973" ht="14.25" customHeight="1">
      <c r="B973" s="44"/>
    </row>
    <row r="974" ht="14.25" customHeight="1">
      <c r="B974" s="44"/>
    </row>
    <row r="975" ht="14.25" customHeight="1">
      <c r="B975" s="44"/>
    </row>
    <row r="976" ht="14.25" customHeight="1">
      <c r="B976" s="44"/>
    </row>
    <row r="977" ht="14.25" customHeight="1">
      <c r="B977" s="44"/>
    </row>
    <row r="978" ht="14.25" customHeight="1">
      <c r="B978" s="44"/>
    </row>
    <row r="979" ht="14.25" customHeight="1">
      <c r="B979" s="44"/>
    </row>
    <row r="980" ht="14.25" customHeight="1">
      <c r="B980" s="44"/>
    </row>
    <row r="981" ht="14.25" customHeight="1">
      <c r="B981" s="44"/>
    </row>
    <row r="982" ht="14.25" customHeight="1">
      <c r="B982" s="44"/>
    </row>
    <row r="983" ht="14.25" customHeight="1">
      <c r="B983" s="44"/>
    </row>
    <row r="984" ht="14.25" customHeight="1">
      <c r="B984" s="44"/>
    </row>
    <row r="985" ht="14.25" customHeight="1">
      <c r="B985" s="44"/>
    </row>
    <row r="986" ht="14.25" customHeight="1">
      <c r="B986" s="44"/>
    </row>
    <row r="987" ht="14.25" customHeight="1">
      <c r="B987" s="44"/>
    </row>
    <row r="988" ht="14.25" customHeight="1">
      <c r="B988" s="44"/>
    </row>
    <row r="989" ht="14.25" customHeight="1">
      <c r="B989" s="44"/>
    </row>
    <row r="990" ht="14.25" customHeight="1">
      <c r="B990" s="44"/>
    </row>
    <row r="991" ht="14.25" customHeight="1">
      <c r="B991" s="44"/>
    </row>
    <row r="992" ht="14.25" customHeight="1">
      <c r="B992" s="44"/>
    </row>
    <row r="993" ht="14.25" customHeight="1">
      <c r="B993" s="44"/>
    </row>
    <row r="994" ht="14.25" customHeight="1">
      <c r="B994" s="44"/>
    </row>
    <row r="995" ht="14.25" customHeight="1">
      <c r="B995" s="44"/>
    </row>
    <row r="996" ht="14.25" customHeight="1">
      <c r="B996" s="44"/>
    </row>
    <row r="997" ht="14.25" customHeight="1">
      <c r="B997" s="44"/>
    </row>
    <row r="998" ht="14.25" customHeight="1">
      <c r="B998" s="44"/>
    </row>
    <row r="999" ht="14.25" customHeight="1">
      <c r="B999" s="44"/>
    </row>
    <row r="1000" ht="14.25" customHeight="1">
      <c r="B1000" s="44"/>
    </row>
    <row r="1001" ht="14.25" customHeight="1">
      <c r="B1001" s="44"/>
    </row>
    <row r="1002" ht="14.25" customHeight="1">
      <c r="B1002" s="44"/>
    </row>
    <row r="1003" ht="14.25" customHeight="1">
      <c r="B1003" s="44"/>
    </row>
    <row r="1004" ht="14.25" customHeight="1">
      <c r="B1004" s="44"/>
    </row>
    <row r="1005" ht="14.25" customHeight="1">
      <c r="B1005" s="44"/>
    </row>
    <row r="1006" ht="14.25" customHeight="1">
      <c r="B1006" s="44"/>
    </row>
    <row r="1007" ht="14.25" customHeight="1">
      <c r="B1007" s="44"/>
    </row>
    <row r="1008" ht="14.25" customHeight="1">
      <c r="B1008" s="44"/>
    </row>
    <row r="1009" ht="14.25" customHeight="1">
      <c r="B1009" s="44"/>
    </row>
    <row r="1010" ht="14.25" customHeight="1">
      <c r="B1010" s="44"/>
    </row>
    <row r="1011" ht="14.25" customHeight="1">
      <c r="B1011" s="44"/>
    </row>
    <row r="1012" ht="14.25" customHeight="1">
      <c r="B1012" s="44"/>
    </row>
    <row r="1013" ht="14.25" customHeight="1">
      <c r="B1013" s="44"/>
    </row>
    <row r="1014" ht="14.25" customHeight="1">
      <c r="B1014" s="4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3">
    <mergeCell ref="A1:C1"/>
    <mergeCell ref="E1:G1"/>
    <mergeCell ref="I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9.43"/>
    <col customWidth="1" min="4" max="4" width="6.57"/>
    <col customWidth="1" min="5" max="5" width="10.71"/>
    <col customWidth="1" min="6" max="6" width="10.57"/>
    <col customWidth="1" min="7" max="7" width="11.57"/>
    <col customWidth="1" min="8" max="8" width="14.71"/>
    <col customWidth="1" min="9" max="9" width="18.14"/>
    <col customWidth="1" min="10" max="10" width="12.57"/>
    <col customWidth="1" min="11" max="11" width="6.0"/>
    <col customWidth="1" min="12" max="12" width="13.29"/>
    <col customWidth="1" min="13" max="29" width="8.71"/>
  </cols>
  <sheetData>
    <row r="1" ht="14.25" customHeight="1">
      <c r="A1" s="6" t="s">
        <v>4</v>
      </c>
      <c r="B1" s="105" t="s">
        <v>902</v>
      </c>
      <c r="C1" s="105" t="s">
        <v>903</v>
      </c>
      <c r="E1" s="68" t="s">
        <v>377</v>
      </c>
      <c r="F1" s="6" t="s">
        <v>378</v>
      </c>
      <c r="G1" s="6" t="s">
        <v>379</v>
      </c>
      <c r="H1" s="6" t="s">
        <v>380</v>
      </c>
      <c r="I1" s="69" t="s">
        <v>381</v>
      </c>
      <c r="J1" s="70" t="s">
        <v>382</v>
      </c>
      <c r="K1" s="71"/>
      <c r="L1" s="68" t="s">
        <v>383</v>
      </c>
    </row>
    <row r="2" ht="14.25" customHeight="1">
      <c r="A2" s="11" t="s">
        <v>19</v>
      </c>
      <c r="B2" s="16">
        <v>46.0</v>
      </c>
      <c r="C2" s="21">
        <v>0.0</v>
      </c>
      <c r="D2" s="67"/>
      <c r="E2" s="82">
        <v>18.0</v>
      </c>
      <c r="F2" s="21">
        <v>1.0</v>
      </c>
      <c r="G2" s="21">
        <v>10.0</v>
      </c>
      <c r="H2" s="11">
        <f t="shared" ref="H2:H43" si="1">E2+F2+G2</f>
        <v>29</v>
      </c>
      <c r="I2" s="74">
        <f t="shared" ref="I2:I43" si="2">L2/(H2*3)</f>
        <v>0.632183908</v>
      </c>
      <c r="J2" s="75">
        <f t="shared" ref="J2:J43" si="3">B2/H2</f>
        <v>1.586206897</v>
      </c>
      <c r="K2" s="67"/>
      <c r="L2" s="77">
        <f t="shared" ref="L2:L43" si="4">E2*3+F2*1+G2*0</f>
        <v>55</v>
      </c>
      <c r="O2" s="78"/>
    </row>
    <row r="3" ht="14.25" customHeight="1">
      <c r="A3" s="16" t="s">
        <v>60</v>
      </c>
      <c r="B3" s="16">
        <v>21.0</v>
      </c>
      <c r="C3" s="21">
        <v>0.0</v>
      </c>
      <c r="D3" s="67"/>
      <c r="E3" s="82">
        <v>16.0</v>
      </c>
      <c r="F3" s="21">
        <v>1.0</v>
      </c>
      <c r="G3" s="21">
        <v>12.0</v>
      </c>
      <c r="H3" s="11">
        <f t="shared" si="1"/>
        <v>29</v>
      </c>
      <c r="I3" s="74">
        <f t="shared" si="2"/>
        <v>0.5632183908</v>
      </c>
      <c r="J3" s="75">
        <f t="shared" si="3"/>
        <v>0.724137931</v>
      </c>
      <c r="K3" s="76"/>
      <c r="L3" s="77">
        <f t="shared" si="4"/>
        <v>49</v>
      </c>
      <c r="O3" s="78"/>
    </row>
    <row r="4" ht="14.25" customHeight="1">
      <c r="A4" s="11" t="s">
        <v>26</v>
      </c>
      <c r="B4" s="16">
        <v>55.0</v>
      </c>
      <c r="C4" s="21">
        <v>0.0</v>
      </c>
      <c r="D4" s="67"/>
      <c r="E4" s="82">
        <v>15.0</v>
      </c>
      <c r="F4" s="21">
        <v>1.0</v>
      </c>
      <c r="G4" s="21">
        <v>14.0</v>
      </c>
      <c r="H4" s="11">
        <f t="shared" si="1"/>
        <v>30</v>
      </c>
      <c r="I4" s="74">
        <f t="shared" si="2"/>
        <v>0.5111111111</v>
      </c>
      <c r="J4" s="75">
        <f t="shared" si="3"/>
        <v>1.833333333</v>
      </c>
      <c r="K4" s="67"/>
      <c r="L4" s="77">
        <f t="shared" si="4"/>
        <v>46</v>
      </c>
      <c r="O4" s="78"/>
    </row>
    <row r="5" ht="14.25" customHeight="1">
      <c r="A5" s="16" t="s">
        <v>43</v>
      </c>
      <c r="B5" s="16">
        <v>17.0</v>
      </c>
      <c r="C5" s="21">
        <v>2.0</v>
      </c>
      <c r="D5" s="67"/>
      <c r="E5" s="82">
        <v>15.0</v>
      </c>
      <c r="F5" s="21">
        <v>1.0</v>
      </c>
      <c r="G5" s="21">
        <v>12.0</v>
      </c>
      <c r="H5" s="11">
        <f t="shared" si="1"/>
        <v>28</v>
      </c>
      <c r="I5" s="74">
        <f t="shared" si="2"/>
        <v>0.5476190476</v>
      </c>
      <c r="J5" s="75">
        <f t="shared" si="3"/>
        <v>0.6071428571</v>
      </c>
      <c r="K5" s="76"/>
      <c r="L5" s="77">
        <f t="shared" si="4"/>
        <v>46</v>
      </c>
    </row>
    <row r="6" ht="14.25" customHeight="1">
      <c r="A6" s="16" t="s">
        <v>365</v>
      </c>
      <c r="B6" s="16">
        <v>37.0</v>
      </c>
      <c r="C6" s="21">
        <v>0.0</v>
      </c>
      <c r="D6" s="67"/>
      <c r="E6" s="82">
        <v>13.0</v>
      </c>
      <c r="F6" s="21">
        <v>1.0</v>
      </c>
      <c r="G6" s="21">
        <v>13.0</v>
      </c>
      <c r="H6" s="11">
        <f t="shared" si="1"/>
        <v>27</v>
      </c>
      <c r="I6" s="74">
        <f t="shared" si="2"/>
        <v>0.4938271605</v>
      </c>
      <c r="J6" s="75">
        <f t="shared" si="3"/>
        <v>1.37037037</v>
      </c>
      <c r="K6" s="67"/>
      <c r="L6" s="77">
        <f t="shared" si="4"/>
        <v>40</v>
      </c>
    </row>
    <row r="7" ht="14.25" customHeight="1">
      <c r="A7" s="11" t="s">
        <v>53</v>
      </c>
      <c r="B7" s="16">
        <v>19.0</v>
      </c>
      <c r="C7" s="21">
        <v>1.0</v>
      </c>
      <c r="D7" s="67"/>
      <c r="E7" s="82">
        <v>12.0</v>
      </c>
      <c r="F7" s="21">
        <v>0.0</v>
      </c>
      <c r="G7" s="21">
        <v>11.0</v>
      </c>
      <c r="H7" s="11">
        <f t="shared" si="1"/>
        <v>23</v>
      </c>
      <c r="I7" s="74">
        <f t="shared" si="2"/>
        <v>0.5217391304</v>
      </c>
      <c r="J7" s="75">
        <f t="shared" si="3"/>
        <v>0.8260869565</v>
      </c>
      <c r="K7" s="67"/>
      <c r="L7" s="77">
        <f t="shared" si="4"/>
        <v>36</v>
      </c>
    </row>
    <row r="8" ht="14.25" customHeight="1">
      <c r="A8" s="107" t="s">
        <v>838</v>
      </c>
      <c r="B8" s="16">
        <v>18.0</v>
      </c>
      <c r="C8" s="21">
        <v>1.0</v>
      </c>
      <c r="D8" s="67"/>
      <c r="E8" s="82">
        <v>11.0</v>
      </c>
      <c r="F8" s="21">
        <v>1.0</v>
      </c>
      <c r="G8" s="21">
        <v>6.0</v>
      </c>
      <c r="H8" s="11">
        <f t="shared" si="1"/>
        <v>18</v>
      </c>
      <c r="I8" s="74">
        <f t="shared" si="2"/>
        <v>0.6296296296</v>
      </c>
      <c r="J8" s="75">
        <f t="shared" si="3"/>
        <v>1</v>
      </c>
      <c r="K8" s="76"/>
      <c r="L8" s="77">
        <f t="shared" si="4"/>
        <v>34</v>
      </c>
      <c r="O8" s="78"/>
    </row>
    <row r="9" ht="14.25" customHeight="1">
      <c r="A9" s="16" t="s">
        <v>39</v>
      </c>
      <c r="B9" s="16">
        <v>10.0</v>
      </c>
      <c r="C9" s="21">
        <v>0.0</v>
      </c>
      <c r="D9" s="67"/>
      <c r="E9" s="82">
        <v>11.0</v>
      </c>
      <c r="F9" s="21">
        <v>1.0</v>
      </c>
      <c r="G9" s="21">
        <v>12.0</v>
      </c>
      <c r="H9" s="11">
        <f t="shared" si="1"/>
        <v>24</v>
      </c>
      <c r="I9" s="74">
        <f t="shared" si="2"/>
        <v>0.4722222222</v>
      </c>
      <c r="J9" s="75">
        <f t="shared" si="3"/>
        <v>0.4166666667</v>
      </c>
      <c r="K9" s="67"/>
      <c r="L9" s="77">
        <f t="shared" si="4"/>
        <v>34</v>
      </c>
      <c r="O9" s="78"/>
      <c r="S9" s="36"/>
    </row>
    <row r="10" ht="14.25" customHeight="1">
      <c r="A10" s="20" t="s">
        <v>97</v>
      </c>
      <c r="B10" s="16">
        <v>8.0</v>
      </c>
      <c r="C10" s="21">
        <v>1.0</v>
      </c>
      <c r="D10" s="67"/>
      <c r="E10" s="82">
        <v>11.0</v>
      </c>
      <c r="F10" s="21">
        <v>1.0</v>
      </c>
      <c r="G10" s="21">
        <v>15.0</v>
      </c>
      <c r="H10" s="11">
        <f t="shared" si="1"/>
        <v>27</v>
      </c>
      <c r="I10" s="74">
        <f t="shared" si="2"/>
        <v>0.4197530864</v>
      </c>
      <c r="J10" s="75">
        <f t="shared" si="3"/>
        <v>0.2962962963</v>
      </c>
      <c r="K10" s="67"/>
      <c r="L10" s="77">
        <f t="shared" si="4"/>
        <v>34</v>
      </c>
      <c r="O10" s="78"/>
    </row>
    <row r="11" ht="14.25" customHeight="1">
      <c r="A11" s="21" t="s">
        <v>33</v>
      </c>
      <c r="B11" s="21">
        <v>24.0</v>
      </c>
      <c r="C11" s="21">
        <v>0.0</v>
      </c>
      <c r="D11" s="67"/>
      <c r="E11" s="82">
        <v>9.0</v>
      </c>
      <c r="F11" s="21">
        <v>1.0</v>
      </c>
      <c r="G11" s="21">
        <v>15.0</v>
      </c>
      <c r="H11" s="11">
        <f t="shared" si="1"/>
        <v>25</v>
      </c>
      <c r="I11" s="74">
        <f t="shared" si="2"/>
        <v>0.3733333333</v>
      </c>
      <c r="J11" s="75">
        <f t="shared" si="3"/>
        <v>0.96</v>
      </c>
      <c r="K11" s="76"/>
      <c r="L11" s="77">
        <f t="shared" si="4"/>
        <v>28</v>
      </c>
      <c r="O11" s="78"/>
    </row>
    <row r="12" ht="14.25" customHeight="1">
      <c r="A12" s="16" t="s">
        <v>126</v>
      </c>
      <c r="B12" s="16">
        <v>3.0</v>
      </c>
      <c r="C12" s="21">
        <v>1.0</v>
      </c>
      <c r="D12" s="67"/>
      <c r="E12" s="82">
        <v>9.0</v>
      </c>
      <c r="F12" s="21">
        <v>1.0</v>
      </c>
      <c r="G12" s="21">
        <v>5.0</v>
      </c>
      <c r="H12" s="11">
        <f t="shared" si="1"/>
        <v>15</v>
      </c>
      <c r="I12" s="74">
        <f t="shared" si="2"/>
        <v>0.6222222222</v>
      </c>
      <c r="J12" s="75">
        <f t="shared" si="3"/>
        <v>0.2</v>
      </c>
      <c r="K12" s="76"/>
      <c r="L12" s="77">
        <f t="shared" si="4"/>
        <v>28</v>
      </c>
      <c r="O12" s="78"/>
    </row>
    <row r="13" ht="14.25" customHeight="1">
      <c r="A13" s="21" t="s">
        <v>776</v>
      </c>
      <c r="B13" s="21">
        <v>0.0</v>
      </c>
      <c r="C13" s="21">
        <v>0.0</v>
      </c>
      <c r="D13" s="67"/>
      <c r="E13" s="82">
        <v>8.0</v>
      </c>
      <c r="F13" s="21">
        <v>0.0</v>
      </c>
      <c r="G13" s="21">
        <v>2.0</v>
      </c>
      <c r="H13" s="11">
        <f t="shared" si="1"/>
        <v>10</v>
      </c>
      <c r="I13" s="74">
        <f t="shared" si="2"/>
        <v>0.8</v>
      </c>
      <c r="J13" s="75">
        <f t="shared" si="3"/>
        <v>0</v>
      </c>
      <c r="K13" s="67"/>
      <c r="L13" s="77">
        <f t="shared" si="4"/>
        <v>24</v>
      </c>
    </row>
    <row r="14" ht="14.25" customHeight="1">
      <c r="A14" s="16" t="s">
        <v>208</v>
      </c>
      <c r="B14" s="16">
        <v>4.0</v>
      </c>
      <c r="C14" s="21">
        <v>0.0</v>
      </c>
      <c r="D14" s="67"/>
      <c r="E14" s="82">
        <v>7.0</v>
      </c>
      <c r="F14" s="21">
        <v>0.0</v>
      </c>
      <c r="G14" s="21">
        <v>3.0</v>
      </c>
      <c r="H14" s="11">
        <f t="shared" si="1"/>
        <v>10</v>
      </c>
      <c r="I14" s="74">
        <f t="shared" si="2"/>
        <v>0.7</v>
      </c>
      <c r="J14" s="75">
        <f t="shared" si="3"/>
        <v>0.4</v>
      </c>
      <c r="K14" s="76"/>
      <c r="L14" s="77">
        <f t="shared" si="4"/>
        <v>21</v>
      </c>
    </row>
    <row r="15" ht="14.25" customHeight="1">
      <c r="A15" s="16" t="s">
        <v>723</v>
      </c>
      <c r="B15" s="16">
        <v>10.0</v>
      </c>
      <c r="C15" s="21">
        <v>0.0</v>
      </c>
      <c r="D15" s="67"/>
      <c r="E15" s="82">
        <v>6.0</v>
      </c>
      <c r="F15" s="21">
        <v>1.0</v>
      </c>
      <c r="G15" s="21">
        <v>7.0</v>
      </c>
      <c r="H15" s="11">
        <f t="shared" si="1"/>
        <v>14</v>
      </c>
      <c r="I15" s="74">
        <f t="shared" si="2"/>
        <v>0.4523809524</v>
      </c>
      <c r="J15" s="75">
        <f t="shared" si="3"/>
        <v>0.7142857143</v>
      </c>
      <c r="K15" s="67"/>
      <c r="L15" s="77">
        <f t="shared" si="4"/>
        <v>19</v>
      </c>
      <c r="O15" s="78"/>
    </row>
    <row r="16" ht="14.25" customHeight="1">
      <c r="A16" s="16" t="s">
        <v>348</v>
      </c>
      <c r="B16" s="16">
        <v>16.0</v>
      </c>
      <c r="C16" s="21">
        <v>0.0</v>
      </c>
      <c r="D16" s="67"/>
      <c r="E16" s="82">
        <v>6.0</v>
      </c>
      <c r="F16" s="21">
        <v>0.0</v>
      </c>
      <c r="G16" s="21">
        <v>7.0</v>
      </c>
      <c r="H16" s="11">
        <f t="shared" si="1"/>
        <v>13</v>
      </c>
      <c r="I16" s="74">
        <f t="shared" si="2"/>
        <v>0.4615384615</v>
      </c>
      <c r="J16" s="75">
        <f t="shared" si="3"/>
        <v>1.230769231</v>
      </c>
      <c r="K16" s="67"/>
      <c r="L16" s="77">
        <f t="shared" si="4"/>
        <v>18</v>
      </c>
    </row>
    <row r="17" ht="14.25" customHeight="1">
      <c r="A17" s="16" t="s">
        <v>100</v>
      </c>
      <c r="B17" s="16">
        <v>8.0</v>
      </c>
      <c r="C17" s="21">
        <v>0.0</v>
      </c>
      <c r="D17" s="67"/>
      <c r="E17" s="16">
        <v>6.0</v>
      </c>
      <c r="F17" s="16">
        <v>0.0</v>
      </c>
      <c r="G17" s="16">
        <v>3.0</v>
      </c>
      <c r="H17" s="11">
        <f t="shared" si="1"/>
        <v>9</v>
      </c>
      <c r="I17" s="74">
        <f t="shared" si="2"/>
        <v>0.6666666667</v>
      </c>
      <c r="J17" s="75">
        <f t="shared" si="3"/>
        <v>0.8888888889</v>
      </c>
      <c r="K17" s="76"/>
      <c r="L17" s="77">
        <f t="shared" si="4"/>
        <v>18</v>
      </c>
    </row>
    <row r="18" ht="14.25" customHeight="1">
      <c r="A18" s="16" t="s">
        <v>544</v>
      </c>
      <c r="B18" s="16">
        <v>9.0</v>
      </c>
      <c r="C18" s="21">
        <v>1.0</v>
      </c>
      <c r="E18" s="16">
        <v>5.0</v>
      </c>
      <c r="F18" s="16">
        <v>1.0</v>
      </c>
      <c r="G18" s="16">
        <v>18.0</v>
      </c>
      <c r="H18" s="11">
        <f t="shared" si="1"/>
        <v>24</v>
      </c>
      <c r="I18" s="74">
        <f t="shared" si="2"/>
        <v>0.2222222222</v>
      </c>
      <c r="J18" s="75">
        <f t="shared" si="3"/>
        <v>0.375</v>
      </c>
      <c r="K18" s="76"/>
      <c r="L18" s="77">
        <f t="shared" si="4"/>
        <v>16</v>
      </c>
    </row>
    <row r="19" ht="14.25" customHeight="1">
      <c r="A19" s="21" t="s">
        <v>41</v>
      </c>
      <c r="B19" s="21">
        <v>12.0</v>
      </c>
      <c r="C19" s="21">
        <v>0.0</v>
      </c>
      <c r="E19" s="21">
        <v>4.0</v>
      </c>
      <c r="F19" s="21">
        <v>0.0</v>
      </c>
      <c r="G19" s="21">
        <v>4.0</v>
      </c>
      <c r="H19" s="11">
        <f t="shared" si="1"/>
        <v>8</v>
      </c>
      <c r="I19" s="74">
        <f t="shared" si="2"/>
        <v>0.5</v>
      </c>
      <c r="J19" s="75">
        <f t="shared" si="3"/>
        <v>1.5</v>
      </c>
      <c r="K19" s="67"/>
      <c r="L19" s="77">
        <f t="shared" si="4"/>
        <v>12</v>
      </c>
    </row>
    <row r="20" ht="14.25" customHeight="1">
      <c r="A20" s="11" t="s">
        <v>42</v>
      </c>
      <c r="B20" s="21">
        <v>3.0</v>
      </c>
      <c r="C20" s="21">
        <v>0.0</v>
      </c>
      <c r="E20" s="21">
        <v>4.0</v>
      </c>
      <c r="F20" s="21">
        <v>0.0</v>
      </c>
      <c r="G20" s="21">
        <v>8.0</v>
      </c>
      <c r="H20" s="11">
        <f t="shared" si="1"/>
        <v>12</v>
      </c>
      <c r="I20" s="74">
        <f t="shared" si="2"/>
        <v>0.3333333333</v>
      </c>
      <c r="J20" s="75">
        <f t="shared" si="3"/>
        <v>0.25</v>
      </c>
      <c r="K20" s="76"/>
      <c r="L20" s="77">
        <f t="shared" si="4"/>
        <v>12</v>
      </c>
    </row>
    <row r="21" ht="14.25" customHeight="1">
      <c r="A21" s="16" t="s">
        <v>180</v>
      </c>
      <c r="B21" s="16">
        <v>3.0</v>
      </c>
      <c r="C21" s="21">
        <v>1.0</v>
      </c>
      <c r="E21" s="21">
        <v>4.0</v>
      </c>
      <c r="F21" s="21">
        <v>0.0</v>
      </c>
      <c r="G21" s="21">
        <v>2.0</v>
      </c>
      <c r="H21" s="11">
        <f t="shared" si="1"/>
        <v>6</v>
      </c>
      <c r="I21" s="74">
        <f t="shared" si="2"/>
        <v>0.6666666667</v>
      </c>
      <c r="J21" s="75">
        <f t="shared" si="3"/>
        <v>0.5</v>
      </c>
      <c r="K21" s="76"/>
      <c r="L21" s="77">
        <f t="shared" si="4"/>
        <v>12</v>
      </c>
    </row>
    <row r="22" ht="14.25" customHeight="1">
      <c r="A22" s="21" t="s">
        <v>131</v>
      </c>
      <c r="B22" s="21">
        <v>5.0</v>
      </c>
      <c r="C22" s="21">
        <v>0.0</v>
      </c>
      <c r="E22" s="21">
        <v>2.0</v>
      </c>
      <c r="F22" s="21">
        <v>0.0</v>
      </c>
      <c r="G22" s="21">
        <v>8.0</v>
      </c>
      <c r="H22" s="11">
        <f t="shared" si="1"/>
        <v>10</v>
      </c>
      <c r="I22" s="74">
        <f t="shared" si="2"/>
        <v>0.2</v>
      </c>
      <c r="J22" s="86">
        <f t="shared" si="3"/>
        <v>0.5</v>
      </c>
      <c r="L22" s="11">
        <f t="shared" si="4"/>
        <v>6</v>
      </c>
    </row>
    <row r="23" ht="14.25" customHeight="1">
      <c r="A23" s="16" t="s">
        <v>35</v>
      </c>
      <c r="B23" s="16">
        <v>2.0</v>
      </c>
      <c r="C23" s="21">
        <v>0.0</v>
      </c>
      <c r="E23" s="16">
        <v>2.0</v>
      </c>
      <c r="F23" s="16">
        <v>0.0</v>
      </c>
      <c r="G23" s="16">
        <v>2.0</v>
      </c>
      <c r="H23" s="11">
        <f t="shared" si="1"/>
        <v>4</v>
      </c>
      <c r="I23" s="74">
        <f t="shared" si="2"/>
        <v>0.5</v>
      </c>
      <c r="J23" s="86">
        <f t="shared" si="3"/>
        <v>0.5</v>
      </c>
      <c r="K23" s="94"/>
      <c r="L23" s="11">
        <f t="shared" si="4"/>
        <v>6</v>
      </c>
    </row>
    <row r="24" ht="14.25" customHeight="1">
      <c r="A24" s="16" t="s">
        <v>718</v>
      </c>
      <c r="B24" s="16">
        <v>0.0</v>
      </c>
      <c r="C24" s="21">
        <v>0.0</v>
      </c>
      <c r="E24" s="16">
        <v>2.0</v>
      </c>
      <c r="F24" s="16">
        <v>0.0</v>
      </c>
      <c r="G24" s="16">
        <v>2.0</v>
      </c>
      <c r="H24" s="11">
        <f t="shared" si="1"/>
        <v>4</v>
      </c>
      <c r="I24" s="74">
        <f t="shared" si="2"/>
        <v>0.5</v>
      </c>
      <c r="J24" s="86">
        <f t="shared" si="3"/>
        <v>0</v>
      </c>
      <c r="K24" s="94"/>
      <c r="L24" s="11">
        <f t="shared" si="4"/>
        <v>6</v>
      </c>
    </row>
    <row r="25" ht="14.25" customHeight="1">
      <c r="A25" s="21" t="s">
        <v>872</v>
      </c>
      <c r="B25" s="16">
        <v>5.0</v>
      </c>
      <c r="C25" s="21">
        <v>0.0</v>
      </c>
      <c r="E25" s="21">
        <v>1.0</v>
      </c>
      <c r="F25" s="21">
        <v>0.0</v>
      </c>
      <c r="G25" s="21">
        <v>0.0</v>
      </c>
      <c r="H25" s="11">
        <f t="shared" si="1"/>
        <v>1</v>
      </c>
      <c r="I25" s="74">
        <f t="shared" si="2"/>
        <v>1</v>
      </c>
      <c r="J25" s="86">
        <f t="shared" si="3"/>
        <v>5</v>
      </c>
      <c r="K25" s="94"/>
      <c r="L25" s="11">
        <f t="shared" si="4"/>
        <v>3</v>
      </c>
      <c r="O25" s="78"/>
    </row>
    <row r="26" ht="14.25" customHeight="1">
      <c r="A26" s="21" t="s">
        <v>904</v>
      </c>
      <c r="B26" s="16">
        <v>5.0</v>
      </c>
      <c r="C26" s="21">
        <v>0.0</v>
      </c>
      <c r="E26" s="21">
        <v>1.0</v>
      </c>
      <c r="F26" s="21">
        <v>0.0</v>
      </c>
      <c r="G26" s="21">
        <v>0.0</v>
      </c>
      <c r="H26" s="11">
        <f t="shared" si="1"/>
        <v>1</v>
      </c>
      <c r="I26" s="74">
        <f t="shared" si="2"/>
        <v>1</v>
      </c>
      <c r="J26" s="86">
        <f t="shared" si="3"/>
        <v>5</v>
      </c>
      <c r="K26" s="94"/>
      <c r="L26" s="11">
        <f t="shared" si="4"/>
        <v>3</v>
      </c>
    </row>
    <row r="27" ht="14.25" customHeight="1">
      <c r="A27" s="29" t="s">
        <v>269</v>
      </c>
      <c r="B27" s="16">
        <v>4.0</v>
      </c>
      <c r="C27" s="21">
        <v>0.0</v>
      </c>
      <c r="E27" s="21">
        <v>1.0</v>
      </c>
      <c r="F27" s="21">
        <v>0.0</v>
      </c>
      <c r="G27" s="21">
        <v>4.0</v>
      </c>
      <c r="H27" s="11">
        <f t="shared" si="1"/>
        <v>5</v>
      </c>
      <c r="I27" s="74">
        <f t="shared" si="2"/>
        <v>0.2</v>
      </c>
      <c r="J27" s="86">
        <f t="shared" si="3"/>
        <v>0.8</v>
      </c>
      <c r="K27" s="94"/>
      <c r="L27" s="11">
        <f t="shared" si="4"/>
        <v>3</v>
      </c>
      <c r="O27" s="78"/>
    </row>
    <row r="28" ht="14.25" customHeight="1">
      <c r="A28" s="21" t="s">
        <v>74</v>
      </c>
      <c r="B28" s="16">
        <v>2.0</v>
      </c>
      <c r="C28" s="21">
        <v>0.0</v>
      </c>
      <c r="E28" s="21">
        <v>1.0</v>
      </c>
      <c r="F28" s="21">
        <v>0.0</v>
      </c>
      <c r="G28" s="21">
        <v>0.0</v>
      </c>
      <c r="H28" s="11">
        <f t="shared" si="1"/>
        <v>1</v>
      </c>
      <c r="I28" s="74">
        <f t="shared" si="2"/>
        <v>1</v>
      </c>
      <c r="J28" s="86">
        <f t="shared" si="3"/>
        <v>2</v>
      </c>
      <c r="K28" s="94"/>
      <c r="L28" s="11">
        <f t="shared" si="4"/>
        <v>3</v>
      </c>
    </row>
    <row r="29" ht="14.25" customHeight="1">
      <c r="A29" s="21" t="s">
        <v>37</v>
      </c>
      <c r="B29" s="21">
        <v>1.0</v>
      </c>
      <c r="C29" s="21">
        <v>0.0</v>
      </c>
      <c r="E29" s="21">
        <v>1.0</v>
      </c>
      <c r="F29" s="21">
        <v>0.0</v>
      </c>
      <c r="G29" s="21">
        <v>0.0</v>
      </c>
      <c r="H29" s="11">
        <f t="shared" si="1"/>
        <v>1</v>
      </c>
      <c r="I29" s="74">
        <f t="shared" si="2"/>
        <v>1</v>
      </c>
      <c r="J29" s="86">
        <f t="shared" si="3"/>
        <v>1</v>
      </c>
      <c r="K29" s="94"/>
      <c r="L29" s="11">
        <f t="shared" si="4"/>
        <v>3</v>
      </c>
    </row>
    <row r="30" ht="14.25" customHeight="1">
      <c r="A30" s="21" t="s">
        <v>258</v>
      </c>
      <c r="B30" s="21">
        <v>1.0</v>
      </c>
      <c r="C30" s="21">
        <v>0.0</v>
      </c>
      <c r="E30" s="21">
        <v>1.0</v>
      </c>
      <c r="F30" s="21">
        <v>0.0</v>
      </c>
      <c r="G30" s="21">
        <v>0.0</v>
      </c>
      <c r="H30" s="11">
        <f t="shared" si="1"/>
        <v>1</v>
      </c>
      <c r="I30" s="74">
        <f t="shared" si="2"/>
        <v>1</v>
      </c>
      <c r="J30" s="86">
        <f t="shared" si="3"/>
        <v>1</v>
      </c>
      <c r="L30" s="11">
        <f t="shared" si="4"/>
        <v>3</v>
      </c>
    </row>
    <row r="31" ht="14.25" customHeight="1">
      <c r="A31" s="21" t="s">
        <v>900</v>
      </c>
      <c r="B31" s="21">
        <v>1.0</v>
      </c>
      <c r="C31" s="21">
        <v>0.0</v>
      </c>
      <c r="E31" s="21">
        <v>1.0</v>
      </c>
      <c r="F31" s="21">
        <v>0.0</v>
      </c>
      <c r="G31" s="21">
        <v>0.0</v>
      </c>
      <c r="H31" s="11">
        <f t="shared" si="1"/>
        <v>1</v>
      </c>
      <c r="I31" s="74">
        <f t="shared" si="2"/>
        <v>1</v>
      </c>
      <c r="J31" s="86">
        <f t="shared" si="3"/>
        <v>1</v>
      </c>
      <c r="K31" s="94"/>
      <c r="L31" s="11">
        <f t="shared" si="4"/>
        <v>3</v>
      </c>
      <c r="O31" s="78"/>
    </row>
    <row r="32" ht="14.25" customHeight="1">
      <c r="A32" s="16" t="s">
        <v>905</v>
      </c>
      <c r="B32" s="16">
        <v>0.0</v>
      </c>
      <c r="C32" s="21">
        <v>0.0</v>
      </c>
      <c r="E32" s="16">
        <v>1.0</v>
      </c>
      <c r="F32" s="16">
        <v>0.0</v>
      </c>
      <c r="G32" s="16">
        <v>0.0</v>
      </c>
      <c r="H32" s="11">
        <f t="shared" si="1"/>
        <v>1</v>
      </c>
      <c r="I32" s="85">
        <f t="shared" si="2"/>
        <v>1</v>
      </c>
      <c r="J32" s="86">
        <f t="shared" si="3"/>
        <v>0</v>
      </c>
      <c r="K32" s="94"/>
      <c r="L32" s="11">
        <f t="shared" si="4"/>
        <v>3</v>
      </c>
      <c r="O32" s="78"/>
    </row>
    <row r="33" ht="14.25" customHeight="1">
      <c r="A33" s="20" t="s">
        <v>28</v>
      </c>
      <c r="B33" s="16">
        <v>0.0</v>
      </c>
      <c r="C33" s="21">
        <v>0.0</v>
      </c>
      <c r="E33" s="21">
        <v>1.0</v>
      </c>
      <c r="F33" s="21">
        <v>0.0</v>
      </c>
      <c r="G33" s="21">
        <v>0.0</v>
      </c>
      <c r="H33" s="11">
        <f t="shared" si="1"/>
        <v>1</v>
      </c>
      <c r="I33" s="85">
        <f t="shared" si="2"/>
        <v>1</v>
      </c>
      <c r="J33" s="86">
        <f t="shared" si="3"/>
        <v>0</v>
      </c>
      <c r="K33" s="94"/>
      <c r="L33" s="11">
        <f t="shared" si="4"/>
        <v>3</v>
      </c>
      <c r="O33" s="78"/>
    </row>
    <row r="34" ht="14.25" customHeight="1">
      <c r="A34" s="16" t="s">
        <v>906</v>
      </c>
      <c r="B34" s="16">
        <v>0.0</v>
      </c>
      <c r="C34" s="21">
        <v>0.0</v>
      </c>
      <c r="E34" s="16">
        <v>1.0</v>
      </c>
      <c r="F34" s="16">
        <v>0.0</v>
      </c>
      <c r="G34" s="16">
        <v>0.0</v>
      </c>
      <c r="H34" s="11">
        <f t="shared" si="1"/>
        <v>1</v>
      </c>
      <c r="I34" s="85">
        <f t="shared" si="2"/>
        <v>1</v>
      </c>
      <c r="J34" s="86">
        <f t="shared" si="3"/>
        <v>0</v>
      </c>
      <c r="K34" s="94"/>
      <c r="L34" s="11">
        <f t="shared" si="4"/>
        <v>3</v>
      </c>
      <c r="O34" s="78"/>
    </row>
    <row r="35" ht="14.25" customHeight="1">
      <c r="A35" s="21" t="s">
        <v>261</v>
      </c>
      <c r="B35" s="21">
        <v>0.0</v>
      </c>
      <c r="C35" s="21">
        <v>0.0</v>
      </c>
      <c r="E35" s="21">
        <v>1.0</v>
      </c>
      <c r="F35" s="21">
        <v>0.0</v>
      </c>
      <c r="G35" s="21">
        <v>1.0</v>
      </c>
      <c r="H35" s="11">
        <f t="shared" si="1"/>
        <v>2</v>
      </c>
      <c r="I35" s="85">
        <f t="shared" si="2"/>
        <v>0.5</v>
      </c>
      <c r="J35" s="86">
        <f t="shared" si="3"/>
        <v>0</v>
      </c>
      <c r="K35" s="94"/>
      <c r="L35" s="11">
        <f t="shared" si="4"/>
        <v>3</v>
      </c>
    </row>
    <row r="36" ht="14.25" customHeight="1">
      <c r="A36" s="16" t="s">
        <v>836</v>
      </c>
      <c r="B36" s="16">
        <v>1.0</v>
      </c>
      <c r="C36" s="21">
        <v>0.0</v>
      </c>
      <c r="E36" s="21">
        <v>0.0</v>
      </c>
      <c r="F36" s="21">
        <v>1.0</v>
      </c>
      <c r="G36" s="21">
        <v>0.0</v>
      </c>
      <c r="H36" s="11">
        <f t="shared" si="1"/>
        <v>1</v>
      </c>
      <c r="I36" s="85">
        <f t="shared" si="2"/>
        <v>0.3333333333</v>
      </c>
      <c r="J36" s="86">
        <f t="shared" si="3"/>
        <v>1</v>
      </c>
      <c r="L36" s="11">
        <f t="shared" si="4"/>
        <v>1</v>
      </c>
      <c r="O36" s="78"/>
    </row>
    <row r="37" ht="14.25" customHeight="1">
      <c r="A37" s="21" t="s">
        <v>907</v>
      </c>
      <c r="B37" s="21">
        <v>0.0</v>
      </c>
      <c r="C37" s="21">
        <v>0.0</v>
      </c>
      <c r="E37" s="21">
        <v>0.0</v>
      </c>
      <c r="F37" s="21">
        <v>1.0</v>
      </c>
      <c r="G37" s="21">
        <v>0.0</v>
      </c>
      <c r="H37" s="11">
        <f t="shared" si="1"/>
        <v>1</v>
      </c>
      <c r="I37" s="85">
        <f t="shared" si="2"/>
        <v>0.3333333333</v>
      </c>
      <c r="J37" s="86">
        <f t="shared" si="3"/>
        <v>0</v>
      </c>
      <c r="K37" s="94"/>
      <c r="L37" s="11">
        <f t="shared" si="4"/>
        <v>1</v>
      </c>
    </row>
    <row r="38" ht="14.25" customHeight="1">
      <c r="A38" s="21" t="s">
        <v>408</v>
      </c>
      <c r="B38" s="16">
        <v>5.0</v>
      </c>
      <c r="C38" s="21">
        <v>0.0</v>
      </c>
      <c r="E38" s="16">
        <v>0.0</v>
      </c>
      <c r="F38" s="16">
        <v>0.0</v>
      </c>
      <c r="G38" s="16">
        <v>3.0</v>
      </c>
      <c r="H38" s="11">
        <f t="shared" si="1"/>
        <v>3</v>
      </c>
      <c r="I38" s="85">
        <f t="shared" si="2"/>
        <v>0</v>
      </c>
      <c r="J38" s="86">
        <f t="shared" si="3"/>
        <v>1.666666667</v>
      </c>
      <c r="K38" s="94"/>
      <c r="L38" s="11">
        <f t="shared" si="4"/>
        <v>0</v>
      </c>
      <c r="O38" s="78"/>
    </row>
    <row r="39" ht="14.25" customHeight="1">
      <c r="A39" s="21" t="s">
        <v>352</v>
      </c>
      <c r="B39" s="16">
        <v>2.0</v>
      </c>
      <c r="C39" s="21">
        <v>0.0</v>
      </c>
      <c r="E39" s="21">
        <v>0.0</v>
      </c>
      <c r="F39" s="21">
        <v>0.0</v>
      </c>
      <c r="G39" s="21">
        <v>1.0</v>
      </c>
      <c r="H39" s="11">
        <f t="shared" si="1"/>
        <v>1</v>
      </c>
      <c r="I39" s="85">
        <f t="shared" si="2"/>
        <v>0</v>
      </c>
      <c r="J39" s="86">
        <f t="shared" si="3"/>
        <v>2</v>
      </c>
      <c r="K39" s="94"/>
      <c r="L39" s="11">
        <f t="shared" si="4"/>
        <v>0</v>
      </c>
    </row>
    <row r="40" ht="14.25" customHeight="1">
      <c r="A40" s="21" t="s">
        <v>243</v>
      </c>
      <c r="B40" s="16">
        <v>1.0</v>
      </c>
      <c r="C40" s="21">
        <v>0.0</v>
      </c>
      <c r="E40" s="21">
        <v>0.0</v>
      </c>
      <c r="F40" s="21">
        <v>0.0</v>
      </c>
      <c r="G40" s="21">
        <v>1.0</v>
      </c>
      <c r="H40" s="11">
        <f t="shared" si="1"/>
        <v>1</v>
      </c>
      <c r="I40" s="85">
        <f t="shared" si="2"/>
        <v>0</v>
      </c>
      <c r="J40" s="86">
        <f t="shared" si="3"/>
        <v>1</v>
      </c>
      <c r="L40" s="11">
        <f t="shared" si="4"/>
        <v>0</v>
      </c>
    </row>
    <row r="41" ht="14.25" customHeight="1">
      <c r="A41" s="16" t="s">
        <v>17</v>
      </c>
      <c r="B41" s="16">
        <v>0.0</v>
      </c>
      <c r="C41" s="21">
        <v>0.0</v>
      </c>
      <c r="E41" s="16">
        <v>0.0</v>
      </c>
      <c r="F41" s="16">
        <v>0.0</v>
      </c>
      <c r="G41" s="16">
        <v>1.0</v>
      </c>
      <c r="H41" s="11">
        <f t="shared" si="1"/>
        <v>1</v>
      </c>
      <c r="I41" s="85">
        <f t="shared" si="2"/>
        <v>0</v>
      </c>
      <c r="J41" s="86">
        <f t="shared" si="3"/>
        <v>0</v>
      </c>
      <c r="K41" s="94"/>
      <c r="L41" s="11">
        <f t="shared" si="4"/>
        <v>0</v>
      </c>
      <c r="O41" s="78"/>
      <c r="V41" s="50"/>
      <c r="W41" s="50"/>
    </row>
    <row r="42" ht="14.25" customHeight="1">
      <c r="A42" s="16" t="s">
        <v>854</v>
      </c>
      <c r="B42" s="16">
        <v>0.0</v>
      </c>
      <c r="C42" s="21">
        <v>0.0</v>
      </c>
      <c r="E42" s="16">
        <v>0.0</v>
      </c>
      <c r="F42" s="16">
        <v>0.0</v>
      </c>
      <c r="G42" s="16">
        <v>1.0</v>
      </c>
      <c r="H42" s="11">
        <f t="shared" si="1"/>
        <v>1</v>
      </c>
      <c r="I42" s="85">
        <f t="shared" si="2"/>
        <v>0</v>
      </c>
      <c r="J42" s="86">
        <f t="shared" si="3"/>
        <v>0</v>
      </c>
      <c r="K42" s="94"/>
      <c r="L42" s="11">
        <f t="shared" si="4"/>
        <v>0</v>
      </c>
      <c r="O42" s="78"/>
      <c r="V42" s="50"/>
      <c r="W42" s="50"/>
    </row>
    <row r="43" ht="14.25" customHeight="1">
      <c r="A43" s="21" t="s">
        <v>290</v>
      </c>
      <c r="B43" s="16">
        <v>0.0</v>
      </c>
      <c r="C43" s="21">
        <v>0.0</v>
      </c>
      <c r="E43" s="21">
        <v>0.0</v>
      </c>
      <c r="F43" s="21">
        <v>0.0</v>
      </c>
      <c r="G43" s="21">
        <v>1.0</v>
      </c>
      <c r="H43" s="11">
        <f t="shared" si="1"/>
        <v>1</v>
      </c>
      <c r="I43" s="85">
        <f t="shared" si="2"/>
        <v>0</v>
      </c>
      <c r="J43" s="86">
        <f t="shared" si="3"/>
        <v>0</v>
      </c>
      <c r="K43" s="94"/>
      <c r="L43" s="11">
        <f t="shared" si="4"/>
        <v>0</v>
      </c>
      <c r="O43" s="78"/>
    </row>
    <row r="44" ht="14.25" customHeight="1">
      <c r="A44" s="21"/>
      <c r="B44" s="16"/>
      <c r="C44" s="50"/>
      <c r="E44" s="21"/>
      <c r="F44" s="21"/>
      <c r="G44" s="21"/>
      <c r="H44" s="11"/>
      <c r="I44" s="85"/>
      <c r="J44" s="86"/>
      <c r="L44" s="11"/>
    </row>
    <row r="45" ht="14.25" customHeight="1">
      <c r="A45" s="21"/>
      <c r="B45" s="16"/>
      <c r="C45" s="50"/>
      <c r="E45" s="21"/>
      <c r="F45" s="21"/>
      <c r="G45" s="21"/>
      <c r="H45" s="11"/>
      <c r="I45" s="85"/>
      <c r="J45" s="86"/>
      <c r="L45" s="11"/>
    </row>
    <row r="46" ht="14.25" customHeight="1">
      <c r="A46" s="21"/>
      <c r="B46" s="21"/>
      <c r="C46" s="50"/>
      <c r="E46" s="21"/>
      <c r="F46" s="21"/>
      <c r="G46" s="21"/>
      <c r="H46" s="11"/>
      <c r="I46" s="85"/>
      <c r="J46" s="86"/>
      <c r="L46" s="11"/>
      <c r="O46" s="78"/>
    </row>
    <row r="47" ht="14.25" customHeight="1">
      <c r="A47" s="21"/>
      <c r="B47" s="16"/>
      <c r="C47" s="50"/>
      <c r="E47" s="21"/>
      <c r="F47" s="21"/>
      <c r="G47" s="21"/>
      <c r="H47" s="11"/>
      <c r="I47" s="85"/>
      <c r="J47" s="86"/>
      <c r="K47" s="94"/>
      <c r="L47" s="11"/>
      <c r="O47" s="78"/>
    </row>
    <row r="48" ht="14.25" customHeight="1">
      <c r="A48" s="21"/>
      <c r="B48" s="16"/>
      <c r="C48" s="50"/>
      <c r="E48" s="21"/>
      <c r="F48" s="21"/>
      <c r="G48" s="21"/>
      <c r="H48" s="11"/>
      <c r="I48" s="85"/>
      <c r="J48" s="86"/>
      <c r="L48" s="11"/>
      <c r="O48" s="78"/>
    </row>
    <row r="49" ht="14.25" customHeight="1">
      <c r="A49" s="16"/>
      <c r="B49" s="16"/>
      <c r="C49" s="50"/>
      <c r="E49" s="16"/>
      <c r="F49" s="16"/>
      <c r="G49" s="16"/>
      <c r="H49" s="11"/>
      <c r="I49" s="85"/>
      <c r="J49" s="86"/>
      <c r="K49" s="94"/>
      <c r="L49" s="11"/>
    </row>
    <row r="50" ht="14.25" customHeight="1">
      <c r="A50" s="21"/>
      <c r="B50" s="16"/>
      <c r="C50" s="50"/>
      <c r="E50" s="21"/>
      <c r="F50" s="21"/>
      <c r="G50" s="21"/>
      <c r="H50" s="11"/>
      <c r="I50" s="85"/>
      <c r="J50" s="86"/>
      <c r="L50" s="11"/>
    </row>
    <row r="51" ht="14.25" customHeight="1">
      <c r="A51" s="21"/>
      <c r="B51" s="16"/>
      <c r="C51" s="50"/>
      <c r="E51" s="21"/>
      <c r="F51" s="21"/>
      <c r="G51" s="21"/>
      <c r="H51" s="11"/>
      <c r="I51" s="85"/>
      <c r="J51" s="86"/>
      <c r="L51" s="11"/>
    </row>
    <row r="52" ht="14.25" customHeight="1">
      <c r="A52" s="21"/>
      <c r="B52" s="21"/>
      <c r="C52" s="50"/>
      <c r="E52" s="21"/>
      <c r="F52" s="21"/>
      <c r="G52" s="21"/>
      <c r="H52" s="11"/>
      <c r="I52" s="85"/>
      <c r="J52" s="86"/>
      <c r="L52" s="11"/>
    </row>
    <row r="53" ht="14.25" customHeight="1">
      <c r="A53" s="106"/>
      <c r="B53" s="16"/>
      <c r="C53" s="50"/>
      <c r="E53" s="21"/>
      <c r="F53" s="21"/>
      <c r="G53" s="21"/>
      <c r="H53" s="11"/>
      <c r="I53" s="85"/>
      <c r="J53" s="86"/>
      <c r="K53" s="94"/>
      <c r="L53" s="11"/>
    </row>
    <row r="54" ht="14.25" customHeight="1">
      <c r="A54" s="21"/>
      <c r="B54" s="21"/>
      <c r="C54" s="50"/>
      <c r="E54" s="21"/>
      <c r="F54" s="21"/>
      <c r="G54" s="21"/>
      <c r="H54" s="11"/>
      <c r="I54" s="85"/>
      <c r="J54" s="86"/>
      <c r="K54" s="94"/>
      <c r="L54" s="11"/>
    </row>
    <row r="55" ht="14.25" customHeight="1">
      <c r="A55" s="16"/>
      <c r="B55" s="16"/>
      <c r="C55" s="50"/>
      <c r="E55" s="16"/>
      <c r="F55" s="16"/>
      <c r="G55" s="16"/>
      <c r="H55" s="11"/>
      <c r="I55" s="85"/>
      <c r="J55" s="86"/>
      <c r="K55" s="94"/>
      <c r="L55" s="11"/>
      <c r="O55" s="78"/>
    </row>
    <row r="56" ht="14.25" customHeight="1">
      <c r="A56" s="21"/>
      <c r="B56" s="21"/>
      <c r="C56" s="50"/>
      <c r="E56" s="21"/>
      <c r="F56" s="21"/>
      <c r="G56" s="21"/>
      <c r="H56" s="11"/>
      <c r="I56" s="85"/>
      <c r="J56" s="86"/>
      <c r="K56" s="94"/>
      <c r="L56" s="11"/>
    </row>
    <row r="57" ht="14.25" customHeight="1">
      <c r="A57" s="21"/>
      <c r="B57" s="21"/>
      <c r="C57" s="50"/>
      <c r="E57" s="21"/>
      <c r="F57" s="21"/>
      <c r="G57" s="21"/>
      <c r="H57" s="11"/>
      <c r="I57" s="85"/>
      <c r="J57" s="86"/>
      <c r="K57" s="94"/>
      <c r="L57" s="11"/>
    </row>
    <row r="58" ht="14.25" customHeight="1">
      <c r="A58" s="21"/>
      <c r="B58" s="21"/>
      <c r="C58" s="50"/>
      <c r="E58" s="21"/>
      <c r="F58" s="21"/>
      <c r="G58" s="21"/>
      <c r="H58" s="11"/>
      <c r="I58" s="85"/>
      <c r="J58" s="86"/>
      <c r="L58" s="11"/>
    </row>
    <row r="59" ht="14.25" customHeight="1">
      <c r="A59" s="21"/>
      <c r="B59" s="21"/>
      <c r="C59" s="50"/>
      <c r="E59" s="21"/>
      <c r="F59" s="21"/>
      <c r="G59" s="21"/>
      <c r="H59" s="11"/>
      <c r="I59" s="85"/>
      <c r="J59" s="86"/>
      <c r="L59" s="11"/>
    </row>
    <row r="60" ht="14.25" customHeight="1">
      <c r="A60" s="21"/>
      <c r="B60" s="21"/>
      <c r="C60" s="50"/>
      <c r="E60" s="21"/>
      <c r="F60" s="21"/>
      <c r="G60" s="21"/>
      <c r="H60" s="11"/>
      <c r="I60" s="85"/>
      <c r="J60" s="86"/>
      <c r="L60" s="11"/>
    </row>
    <row r="61" ht="14.25" customHeight="1">
      <c r="A61" s="21"/>
      <c r="B61" s="16"/>
      <c r="C61" s="50"/>
      <c r="E61" s="21"/>
      <c r="F61" s="21"/>
      <c r="G61" s="21"/>
      <c r="H61" s="11"/>
      <c r="I61" s="85"/>
      <c r="J61" s="86"/>
      <c r="L61" s="11"/>
      <c r="O61" s="78"/>
    </row>
    <row r="62" ht="14.25" customHeight="1">
      <c r="A62" s="21"/>
      <c r="B62" s="21"/>
      <c r="C62" s="50"/>
      <c r="E62" s="21"/>
      <c r="F62" s="21"/>
      <c r="G62" s="21"/>
      <c r="H62" s="11"/>
      <c r="I62" s="85"/>
      <c r="J62" s="86"/>
      <c r="K62" s="94"/>
      <c r="L62" s="11"/>
    </row>
    <row r="63" ht="14.25" customHeight="1">
      <c r="A63" s="50"/>
      <c r="B63" s="21"/>
      <c r="C63" s="50"/>
      <c r="E63" s="21"/>
      <c r="F63" s="21"/>
      <c r="G63" s="21"/>
      <c r="H63" s="11"/>
      <c r="I63" s="85"/>
      <c r="J63" s="86"/>
      <c r="K63" s="94"/>
      <c r="L63" s="11"/>
    </row>
    <row r="64" ht="14.25" customHeight="1">
      <c r="A64" s="21"/>
      <c r="B64" s="21"/>
      <c r="C64" s="50"/>
      <c r="E64" s="21"/>
      <c r="F64" s="21"/>
      <c r="G64" s="21"/>
      <c r="H64" s="11"/>
      <c r="I64" s="85"/>
      <c r="J64" s="86"/>
      <c r="K64" s="94"/>
      <c r="L64" s="11"/>
    </row>
    <row r="65" ht="14.25" customHeight="1">
      <c r="A65" s="21"/>
      <c r="B65" s="16"/>
      <c r="C65" s="50"/>
      <c r="E65" s="21"/>
      <c r="F65" s="21"/>
      <c r="G65" s="21"/>
      <c r="H65" s="11"/>
      <c r="I65" s="85"/>
      <c r="J65" s="86"/>
      <c r="L65" s="11"/>
    </row>
    <row r="66" ht="14.25" customHeight="1">
      <c r="A66" s="21"/>
      <c r="B66" s="21"/>
      <c r="C66" s="50"/>
      <c r="E66" s="21"/>
      <c r="F66" s="21"/>
      <c r="G66" s="21"/>
      <c r="H66" s="11"/>
      <c r="I66" s="85"/>
      <c r="J66" s="86"/>
      <c r="K66" s="94"/>
      <c r="L66" s="11"/>
    </row>
    <row r="67" ht="14.25" customHeight="1">
      <c r="A67" s="21"/>
      <c r="B67" s="21"/>
      <c r="C67" s="50"/>
      <c r="E67" s="21"/>
      <c r="F67" s="21"/>
      <c r="G67" s="21"/>
      <c r="H67" s="11"/>
      <c r="I67" s="85"/>
      <c r="J67" s="86"/>
      <c r="L67" s="11"/>
    </row>
    <row r="68" ht="14.25" customHeight="1">
      <c r="A68" s="21"/>
      <c r="B68" s="16"/>
      <c r="C68" s="50"/>
      <c r="E68" s="21"/>
      <c r="F68" s="21"/>
      <c r="G68" s="21"/>
      <c r="H68" s="11"/>
      <c r="I68" s="85"/>
      <c r="J68" s="86"/>
      <c r="L68" s="11"/>
    </row>
    <row r="69" ht="14.25" customHeight="1">
      <c r="A69" s="21"/>
      <c r="B69" s="21"/>
      <c r="C69" s="50"/>
      <c r="E69" s="21"/>
      <c r="F69" s="21"/>
      <c r="G69" s="21"/>
      <c r="H69" s="11"/>
      <c r="I69" s="85"/>
      <c r="J69" s="86"/>
      <c r="L69" s="11"/>
    </row>
    <row r="70" ht="14.25" customHeight="1">
      <c r="A70" s="21"/>
      <c r="B70" s="21"/>
      <c r="C70" s="50"/>
      <c r="E70" s="21"/>
      <c r="F70" s="21"/>
      <c r="G70" s="21"/>
      <c r="H70" s="11"/>
      <c r="I70" s="85"/>
      <c r="J70" s="86"/>
      <c r="K70" s="94"/>
      <c r="L70" s="11"/>
    </row>
    <row r="71" ht="14.25" customHeight="1">
      <c r="A71" s="21"/>
      <c r="B71" s="21"/>
      <c r="C71" s="50"/>
      <c r="E71" s="21"/>
      <c r="F71" s="21"/>
      <c r="G71" s="21"/>
      <c r="H71" s="11"/>
      <c r="I71" s="85"/>
      <c r="J71" s="86"/>
      <c r="K71" s="94"/>
      <c r="L71" s="11"/>
    </row>
    <row r="72" ht="14.25" customHeight="1">
      <c r="A72" s="21"/>
      <c r="B72" s="21"/>
      <c r="C72" s="50"/>
      <c r="E72" s="21"/>
      <c r="F72" s="21"/>
      <c r="G72" s="21"/>
      <c r="H72" s="11"/>
      <c r="I72" s="85"/>
      <c r="J72" s="86"/>
      <c r="K72" s="94"/>
      <c r="L72" s="11"/>
    </row>
    <row r="73" ht="14.25" customHeight="1">
      <c r="H73" s="94"/>
      <c r="I73" s="78"/>
      <c r="J73" s="108"/>
      <c r="K73" s="94"/>
      <c r="L73" s="94"/>
    </row>
    <row r="74" ht="14.25" customHeight="1">
      <c r="H74" s="94"/>
      <c r="I74" s="78"/>
      <c r="J74" s="108"/>
      <c r="K74" s="94"/>
      <c r="L74" s="94"/>
    </row>
    <row r="75" ht="14.25" customHeight="1">
      <c r="I75" s="78"/>
    </row>
    <row r="76" ht="14.25" customHeight="1">
      <c r="I76" s="78"/>
    </row>
    <row r="77" ht="14.25" customHeight="1">
      <c r="I77" s="78"/>
    </row>
    <row r="78" ht="14.25" customHeight="1">
      <c r="I78" s="78"/>
    </row>
    <row r="79" ht="14.25" customHeight="1">
      <c r="I79" s="78"/>
    </row>
    <row r="80" ht="14.25" customHeight="1">
      <c r="I80" s="78"/>
    </row>
    <row r="81" ht="14.25" customHeight="1">
      <c r="I81" s="78"/>
    </row>
    <row r="82" ht="14.25" customHeight="1">
      <c r="I82" s="78"/>
    </row>
    <row r="83" ht="14.25" customHeight="1">
      <c r="I83" s="78"/>
    </row>
    <row r="84" ht="14.25" customHeight="1">
      <c r="I84" s="78"/>
    </row>
    <row r="85" ht="14.25" customHeight="1">
      <c r="I85" s="78"/>
    </row>
    <row r="86" ht="14.25" customHeight="1">
      <c r="I86" s="78"/>
    </row>
    <row r="87" ht="14.25" customHeight="1">
      <c r="I87" s="78"/>
    </row>
    <row r="88" ht="14.25" customHeight="1">
      <c r="I88" s="78"/>
    </row>
    <row r="89" ht="14.25" customHeight="1">
      <c r="I89" s="78"/>
    </row>
    <row r="90" ht="14.25" customHeight="1">
      <c r="I90" s="78"/>
    </row>
    <row r="91" ht="14.25" customHeight="1">
      <c r="I91" s="78"/>
    </row>
    <row r="92" ht="14.25" customHeight="1">
      <c r="I92" s="78"/>
    </row>
    <row r="93" ht="14.25" customHeight="1">
      <c r="I93" s="78"/>
    </row>
    <row r="94" ht="14.25" customHeight="1">
      <c r="I94" s="78"/>
    </row>
    <row r="95" ht="14.25" customHeight="1">
      <c r="I95" s="78"/>
    </row>
    <row r="96" ht="14.25" customHeight="1">
      <c r="I96" s="78"/>
    </row>
    <row r="97" ht="14.25" customHeight="1">
      <c r="I97" s="78"/>
    </row>
    <row r="98" ht="14.25" customHeight="1">
      <c r="I98" s="78"/>
    </row>
    <row r="99" ht="14.25" customHeight="1">
      <c r="I99" s="78"/>
    </row>
    <row r="100" ht="14.25" customHeight="1">
      <c r="I100" s="78"/>
    </row>
    <row r="101" ht="14.25" customHeight="1">
      <c r="I101" s="78"/>
    </row>
    <row r="102" ht="14.25" customHeight="1">
      <c r="I102" s="78"/>
    </row>
    <row r="103" ht="14.25" customHeight="1">
      <c r="I103" s="78"/>
    </row>
    <row r="104" ht="14.25" customHeight="1">
      <c r="I104" s="78"/>
    </row>
    <row r="105" ht="14.25" customHeight="1">
      <c r="I105" s="78"/>
    </row>
    <row r="106" ht="14.25" customHeight="1">
      <c r="I106" s="78"/>
    </row>
    <row r="107" ht="14.25" customHeight="1">
      <c r="I107" s="78"/>
    </row>
    <row r="108" ht="14.25" customHeight="1">
      <c r="I108" s="78"/>
    </row>
    <row r="109" ht="14.25" customHeight="1">
      <c r="I109" s="78"/>
    </row>
    <row r="110" ht="14.25" customHeight="1">
      <c r="I110" s="78"/>
    </row>
    <row r="111" ht="14.25" customHeight="1">
      <c r="I111" s="78"/>
    </row>
    <row r="112" ht="14.25" customHeight="1">
      <c r="I112" s="78"/>
    </row>
    <row r="113" ht="14.25" customHeight="1">
      <c r="I113" s="78"/>
    </row>
    <row r="114" ht="14.25" customHeight="1">
      <c r="I114" s="78"/>
    </row>
    <row r="115" ht="14.25" customHeight="1">
      <c r="D115" s="67"/>
      <c r="I115" s="78"/>
      <c r="K115" s="67"/>
    </row>
    <row r="116" ht="14.25" customHeight="1">
      <c r="D116" s="67"/>
      <c r="I116" s="78"/>
      <c r="K116" s="67"/>
    </row>
    <row r="117" ht="14.25" customHeight="1">
      <c r="D117" s="67"/>
      <c r="I117" s="78"/>
      <c r="K117" s="67"/>
    </row>
    <row r="118" ht="14.25" customHeight="1">
      <c r="D118" s="67"/>
      <c r="I118" s="78"/>
      <c r="K118" s="67"/>
    </row>
    <row r="119" ht="14.25" customHeight="1">
      <c r="D119" s="67"/>
      <c r="I119" s="78"/>
      <c r="K119" s="67"/>
    </row>
    <row r="120" ht="14.25" customHeight="1">
      <c r="D120" s="67"/>
      <c r="I120" s="78"/>
      <c r="K120" s="67"/>
    </row>
    <row r="121" ht="14.25" customHeight="1">
      <c r="D121" s="67"/>
      <c r="I121" s="78"/>
      <c r="K121" s="67"/>
    </row>
    <row r="122" ht="14.25" customHeight="1">
      <c r="D122" s="67"/>
      <c r="I122" s="78"/>
      <c r="K122" s="67"/>
    </row>
    <row r="123" ht="14.25" customHeight="1">
      <c r="D123" s="67"/>
      <c r="I123" s="78"/>
      <c r="K123" s="67"/>
    </row>
    <row r="124" ht="14.25" customHeight="1">
      <c r="D124" s="67"/>
      <c r="I124" s="78"/>
      <c r="K124" s="67"/>
    </row>
    <row r="125" ht="14.25" customHeight="1">
      <c r="D125" s="67"/>
      <c r="I125" s="78"/>
      <c r="K125" s="67"/>
    </row>
    <row r="126" ht="14.25" customHeight="1">
      <c r="D126" s="67"/>
      <c r="I126" s="78"/>
      <c r="K126" s="67"/>
    </row>
    <row r="127" ht="14.25" customHeight="1">
      <c r="D127" s="67"/>
      <c r="I127" s="78"/>
      <c r="K127" s="67"/>
    </row>
    <row r="128" ht="14.25" customHeight="1">
      <c r="D128" s="67"/>
      <c r="I128" s="78"/>
      <c r="K128" s="67"/>
    </row>
    <row r="129" ht="14.25" customHeight="1">
      <c r="D129" s="67"/>
      <c r="I129" s="78"/>
      <c r="K129" s="67"/>
    </row>
    <row r="130" ht="14.25" customHeight="1">
      <c r="D130" s="67"/>
      <c r="I130" s="78"/>
      <c r="K130" s="67"/>
    </row>
    <row r="131" ht="14.25" customHeight="1">
      <c r="D131" s="67"/>
      <c r="I131" s="78"/>
      <c r="K131" s="67"/>
    </row>
    <row r="132" ht="14.25" customHeight="1">
      <c r="D132" s="67"/>
      <c r="I132" s="78"/>
      <c r="K132" s="67"/>
    </row>
    <row r="133" ht="14.25" customHeight="1">
      <c r="D133" s="67"/>
      <c r="I133" s="78"/>
      <c r="K133" s="67"/>
    </row>
    <row r="134" ht="14.25" customHeight="1">
      <c r="D134" s="67"/>
      <c r="I134" s="78"/>
      <c r="K134" s="67"/>
    </row>
    <row r="135" ht="14.25" customHeight="1">
      <c r="D135" s="67"/>
      <c r="I135" s="78"/>
      <c r="K135" s="67"/>
    </row>
    <row r="136" ht="14.25" customHeight="1">
      <c r="D136" s="67"/>
      <c r="I136" s="78"/>
      <c r="K136" s="67"/>
    </row>
    <row r="137" ht="14.25" customHeight="1">
      <c r="D137" s="67"/>
      <c r="I137" s="78"/>
      <c r="K137" s="67"/>
    </row>
    <row r="138" ht="14.25" customHeight="1">
      <c r="D138" s="67"/>
      <c r="I138" s="78"/>
      <c r="K138" s="67"/>
    </row>
    <row r="139" ht="14.25" customHeight="1">
      <c r="D139" s="67"/>
      <c r="I139" s="78"/>
      <c r="K139" s="67"/>
    </row>
    <row r="140" ht="14.25" customHeight="1">
      <c r="D140" s="67"/>
      <c r="I140" s="78"/>
      <c r="K140" s="67"/>
    </row>
    <row r="141" ht="14.25" customHeight="1">
      <c r="D141" s="67"/>
      <c r="I141" s="78"/>
      <c r="K141" s="67"/>
    </row>
    <row r="142" ht="14.25" customHeight="1">
      <c r="D142" s="67"/>
      <c r="I142" s="78"/>
      <c r="K142" s="67"/>
    </row>
    <row r="143" ht="14.25" customHeight="1">
      <c r="D143" s="67"/>
      <c r="I143" s="78"/>
      <c r="K143" s="67"/>
    </row>
    <row r="144" ht="14.25" customHeight="1">
      <c r="D144" s="67"/>
      <c r="I144" s="78"/>
      <c r="K144" s="67"/>
    </row>
    <row r="145" ht="14.25" customHeight="1">
      <c r="D145" s="67"/>
      <c r="I145" s="78"/>
      <c r="K145" s="67"/>
    </row>
    <row r="146" ht="14.25" customHeight="1">
      <c r="D146" s="67"/>
      <c r="I146" s="78"/>
      <c r="K146" s="67"/>
    </row>
    <row r="147" ht="14.25" customHeight="1">
      <c r="D147" s="67"/>
      <c r="I147" s="78"/>
      <c r="K147" s="67"/>
    </row>
    <row r="148" ht="14.25" customHeight="1">
      <c r="D148" s="67"/>
      <c r="I148" s="78"/>
      <c r="K148" s="67"/>
    </row>
    <row r="149" ht="14.25" customHeight="1">
      <c r="D149" s="67"/>
      <c r="I149" s="78"/>
      <c r="K149" s="67"/>
    </row>
    <row r="150" ht="14.25" customHeight="1">
      <c r="D150" s="67"/>
      <c r="I150" s="78"/>
      <c r="K150" s="67"/>
    </row>
    <row r="151" ht="14.25" customHeight="1">
      <c r="D151" s="67"/>
      <c r="I151" s="78"/>
      <c r="K151" s="67"/>
    </row>
    <row r="152" ht="14.25" customHeight="1">
      <c r="D152" s="67"/>
      <c r="I152" s="78"/>
      <c r="K152" s="67"/>
    </row>
    <row r="153" ht="14.25" customHeight="1">
      <c r="D153" s="67"/>
      <c r="I153" s="78"/>
      <c r="K153" s="67"/>
    </row>
    <row r="154" ht="14.25" customHeight="1">
      <c r="D154" s="67"/>
      <c r="I154" s="78"/>
      <c r="K154" s="67"/>
    </row>
    <row r="155" ht="14.25" customHeight="1">
      <c r="D155" s="67"/>
      <c r="I155" s="78"/>
      <c r="K155" s="67"/>
    </row>
    <row r="156" ht="14.25" customHeight="1">
      <c r="D156" s="67"/>
      <c r="I156" s="78"/>
      <c r="K156" s="67"/>
    </row>
    <row r="157" ht="14.25" customHeight="1">
      <c r="D157" s="67"/>
      <c r="I157" s="78"/>
      <c r="K157" s="67"/>
    </row>
    <row r="158" ht="14.25" customHeight="1">
      <c r="D158" s="67"/>
      <c r="I158" s="78"/>
      <c r="K158" s="67"/>
    </row>
    <row r="159" ht="14.25" customHeight="1">
      <c r="D159" s="67"/>
      <c r="I159" s="78"/>
      <c r="K159" s="67"/>
    </row>
    <row r="160" ht="14.25" customHeight="1">
      <c r="D160" s="67"/>
      <c r="I160" s="78"/>
      <c r="K160" s="67"/>
    </row>
    <row r="161" ht="14.25" customHeight="1">
      <c r="D161" s="67"/>
      <c r="I161" s="78"/>
      <c r="K161" s="67"/>
    </row>
    <row r="162" ht="14.25" customHeight="1">
      <c r="D162" s="67"/>
      <c r="I162" s="78"/>
      <c r="K162" s="67"/>
    </row>
    <row r="163" ht="14.25" customHeight="1">
      <c r="D163" s="67"/>
      <c r="I163" s="78"/>
      <c r="K163" s="67"/>
    </row>
    <row r="164" ht="14.25" customHeight="1">
      <c r="D164" s="67"/>
      <c r="I164" s="78"/>
      <c r="K164" s="67"/>
    </row>
    <row r="165" ht="14.25" customHeight="1">
      <c r="D165" s="67"/>
      <c r="I165" s="78"/>
      <c r="K165" s="67"/>
    </row>
    <row r="166" ht="14.25" customHeight="1">
      <c r="D166" s="67"/>
      <c r="I166" s="78"/>
      <c r="K166" s="67"/>
    </row>
    <row r="167" ht="14.25" customHeight="1">
      <c r="D167" s="67"/>
      <c r="I167" s="78"/>
      <c r="K167" s="67"/>
    </row>
    <row r="168" ht="14.25" customHeight="1">
      <c r="D168" s="67"/>
      <c r="I168" s="78"/>
      <c r="K168" s="67"/>
    </row>
    <row r="169" ht="14.25" customHeight="1">
      <c r="D169" s="67"/>
      <c r="I169" s="78"/>
      <c r="K169" s="67"/>
    </row>
    <row r="170" ht="14.25" customHeight="1">
      <c r="D170" s="67"/>
      <c r="I170" s="78"/>
      <c r="K170" s="67"/>
    </row>
    <row r="171" ht="14.25" customHeight="1">
      <c r="D171" s="67"/>
      <c r="I171" s="78"/>
      <c r="K171" s="67"/>
    </row>
    <row r="172" ht="14.25" customHeight="1">
      <c r="D172" s="67"/>
      <c r="I172" s="78"/>
      <c r="K172" s="67"/>
    </row>
    <row r="173" ht="14.25" customHeight="1">
      <c r="D173" s="67"/>
      <c r="I173" s="78"/>
      <c r="K173" s="67"/>
    </row>
    <row r="174" ht="14.25" customHeight="1">
      <c r="D174" s="67"/>
      <c r="I174" s="78"/>
      <c r="K174" s="67"/>
    </row>
    <row r="175" ht="14.25" customHeight="1">
      <c r="D175" s="67"/>
      <c r="I175" s="78"/>
      <c r="K175" s="67"/>
    </row>
    <row r="176" ht="14.25" customHeight="1">
      <c r="D176" s="67"/>
      <c r="I176" s="78"/>
      <c r="K176" s="67"/>
    </row>
    <row r="177" ht="14.25" customHeight="1">
      <c r="D177" s="67"/>
      <c r="I177" s="78"/>
      <c r="K177" s="67"/>
    </row>
    <row r="178" ht="14.25" customHeight="1">
      <c r="D178" s="67"/>
      <c r="I178" s="78"/>
      <c r="K178" s="67"/>
    </row>
    <row r="179" ht="14.25" customHeight="1">
      <c r="D179" s="67"/>
      <c r="I179" s="78"/>
      <c r="K179" s="67"/>
    </row>
    <row r="180" ht="14.25" customHeight="1">
      <c r="D180" s="67"/>
      <c r="I180" s="78"/>
      <c r="K180" s="67"/>
    </row>
    <row r="181" ht="14.25" customHeight="1">
      <c r="D181" s="67"/>
      <c r="I181" s="78"/>
      <c r="K181" s="67"/>
    </row>
    <row r="182" ht="14.25" customHeight="1">
      <c r="D182" s="67"/>
      <c r="I182" s="78"/>
      <c r="K182" s="67"/>
    </row>
    <row r="183" ht="14.25" customHeight="1">
      <c r="D183" s="67"/>
      <c r="I183" s="78"/>
      <c r="K183" s="67"/>
    </row>
    <row r="184" ht="14.25" customHeight="1">
      <c r="D184" s="67"/>
      <c r="I184" s="78"/>
      <c r="K184" s="67"/>
    </row>
    <row r="185" ht="14.25" customHeight="1">
      <c r="D185" s="67"/>
      <c r="I185" s="78"/>
      <c r="K185" s="67"/>
    </row>
    <row r="186" ht="14.25" customHeight="1">
      <c r="D186" s="67"/>
      <c r="I186" s="78"/>
      <c r="K186" s="67"/>
    </row>
    <row r="187" ht="14.25" customHeight="1">
      <c r="D187" s="67"/>
      <c r="I187" s="78"/>
      <c r="K187" s="67"/>
    </row>
    <row r="188" ht="14.25" customHeight="1">
      <c r="D188" s="67"/>
      <c r="I188" s="78"/>
      <c r="K188" s="67"/>
    </row>
    <row r="189" ht="14.25" customHeight="1">
      <c r="D189" s="67"/>
      <c r="I189" s="78"/>
      <c r="K189" s="67"/>
    </row>
    <row r="190" ht="14.25" customHeight="1">
      <c r="D190" s="67"/>
      <c r="I190" s="78"/>
      <c r="K190" s="67"/>
    </row>
    <row r="191" ht="14.25" customHeight="1">
      <c r="D191" s="67"/>
      <c r="I191" s="78"/>
      <c r="K191" s="67"/>
    </row>
    <row r="192" ht="14.25" customHeight="1">
      <c r="D192" s="67"/>
      <c r="I192" s="78"/>
      <c r="K192" s="67"/>
    </row>
    <row r="193" ht="14.25" customHeight="1">
      <c r="D193" s="67"/>
      <c r="I193" s="78"/>
      <c r="K193" s="67"/>
    </row>
    <row r="194" ht="14.25" customHeight="1">
      <c r="D194" s="67"/>
      <c r="I194" s="78"/>
      <c r="K194" s="67"/>
    </row>
    <row r="195" ht="14.25" customHeight="1">
      <c r="D195" s="67"/>
      <c r="I195" s="78"/>
      <c r="K195" s="67"/>
    </row>
    <row r="196" ht="14.25" customHeight="1">
      <c r="D196" s="67"/>
      <c r="I196" s="78"/>
      <c r="K196" s="67"/>
    </row>
    <row r="197" ht="14.25" customHeight="1">
      <c r="D197" s="67"/>
      <c r="I197" s="78"/>
      <c r="K197" s="67"/>
    </row>
    <row r="198" ht="14.25" customHeight="1">
      <c r="D198" s="67"/>
      <c r="I198" s="78"/>
      <c r="K198" s="67"/>
    </row>
    <row r="199" ht="14.25" customHeight="1">
      <c r="D199" s="67"/>
      <c r="I199" s="78"/>
      <c r="K199" s="67"/>
    </row>
    <row r="200" ht="14.25" customHeight="1">
      <c r="D200" s="67"/>
      <c r="I200" s="78"/>
      <c r="K200" s="67"/>
    </row>
    <row r="201" ht="14.25" customHeight="1">
      <c r="D201" s="67"/>
      <c r="I201" s="78"/>
      <c r="K201" s="67"/>
    </row>
    <row r="202" ht="14.25" customHeight="1">
      <c r="D202" s="67"/>
      <c r="I202" s="78"/>
      <c r="K202" s="67"/>
    </row>
    <row r="203" ht="14.25" customHeight="1">
      <c r="D203" s="67"/>
      <c r="I203" s="78"/>
      <c r="K203" s="67"/>
    </row>
    <row r="204" ht="14.25" customHeight="1">
      <c r="D204" s="67"/>
      <c r="I204" s="78"/>
      <c r="K204" s="67"/>
    </row>
    <row r="205" ht="14.25" customHeight="1">
      <c r="D205" s="67"/>
      <c r="I205" s="78"/>
      <c r="K205" s="67"/>
    </row>
    <row r="206" ht="14.25" customHeight="1">
      <c r="D206" s="67"/>
      <c r="I206" s="78"/>
      <c r="K206" s="67"/>
    </row>
    <row r="207" ht="14.25" customHeight="1">
      <c r="D207" s="67"/>
      <c r="I207" s="78"/>
      <c r="K207" s="67"/>
    </row>
    <row r="208" ht="14.25" customHeight="1">
      <c r="D208" s="67"/>
      <c r="I208" s="78"/>
      <c r="K208" s="67"/>
    </row>
    <row r="209" ht="14.25" customHeight="1">
      <c r="D209" s="67"/>
      <c r="I209" s="78"/>
      <c r="K209" s="67"/>
    </row>
    <row r="210" ht="14.25" customHeight="1">
      <c r="D210" s="67"/>
      <c r="I210" s="78"/>
      <c r="K210" s="67"/>
    </row>
    <row r="211" ht="14.25" customHeight="1">
      <c r="D211" s="67"/>
      <c r="I211" s="78"/>
      <c r="K211" s="67"/>
    </row>
    <row r="212" ht="14.25" customHeight="1">
      <c r="D212" s="67"/>
      <c r="I212" s="78"/>
      <c r="K212" s="67"/>
    </row>
    <row r="213" ht="14.25" customHeight="1">
      <c r="D213" s="67"/>
      <c r="I213" s="78"/>
      <c r="K213" s="67"/>
    </row>
    <row r="214" ht="14.25" customHeight="1">
      <c r="D214" s="67"/>
      <c r="I214" s="78"/>
      <c r="K214" s="67"/>
    </row>
    <row r="215" ht="14.25" customHeight="1">
      <c r="D215" s="67"/>
      <c r="I215" s="78"/>
      <c r="K215" s="67"/>
    </row>
    <row r="216" ht="14.25" customHeight="1">
      <c r="D216" s="67"/>
      <c r="I216" s="78"/>
      <c r="K216" s="67"/>
    </row>
    <row r="217" ht="14.25" customHeight="1">
      <c r="D217" s="67"/>
      <c r="I217" s="78"/>
      <c r="K217" s="67"/>
    </row>
    <row r="218" ht="14.25" customHeight="1">
      <c r="D218" s="67"/>
      <c r="I218" s="78"/>
      <c r="K218" s="67"/>
    </row>
    <row r="219" ht="14.25" customHeight="1">
      <c r="D219" s="67"/>
      <c r="I219" s="78"/>
      <c r="K219" s="67"/>
    </row>
    <row r="220" ht="14.25" customHeight="1">
      <c r="D220" s="67"/>
      <c r="I220" s="78"/>
      <c r="K220" s="67"/>
    </row>
    <row r="221" ht="14.25" customHeight="1">
      <c r="D221" s="67"/>
      <c r="I221" s="78"/>
      <c r="K221" s="67"/>
    </row>
    <row r="222" ht="14.25" customHeight="1">
      <c r="D222" s="67"/>
      <c r="I222" s="78"/>
      <c r="K222" s="67"/>
    </row>
    <row r="223" ht="14.25" customHeight="1">
      <c r="D223" s="67"/>
      <c r="I223" s="78"/>
      <c r="K223" s="67"/>
    </row>
    <row r="224" ht="14.25" customHeight="1">
      <c r="D224" s="67"/>
      <c r="I224" s="78"/>
      <c r="K224" s="67"/>
    </row>
    <row r="225" ht="14.25" customHeight="1">
      <c r="D225" s="67"/>
      <c r="I225" s="78"/>
      <c r="K225" s="67"/>
    </row>
    <row r="226" ht="14.25" customHeight="1">
      <c r="D226" s="67"/>
      <c r="I226" s="78"/>
      <c r="K226" s="67"/>
    </row>
    <row r="227" ht="14.25" customHeight="1">
      <c r="D227" s="67"/>
      <c r="I227" s="78"/>
      <c r="K227" s="67"/>
    </row>
    <row r="228" ht="14.25" customHeight="1">
      <c r="D228" s="67"/>
      <c r="I228" s="78"/>
      <c r="K228" s="67"/>
    </row>
    <row r="229" ht="14.25" customHeight="1">
      <c r="D229" s="67"/>
      <c r="I229" s="78"/>
      <c r="K229" s="67"/>
    </row>
    <row r="230" ht="14.25" customHeight="1">
      <c r="D230" s="67"/>
      <c r="I230" s="78"/>
      <c r="K230" s="67"/>
    </row>
    <row r="231" ht="14.25" customHeight="1">
      <c r="D231" s="67"/>
      <c r="I231" s="78"/>
      <c r="K231" s="67"/>
    </row>
    <row r="232" ht="14.25" customHeight="1">
      <c r="D232" s="67"/>
      <c r="I232" s="78"/>
      <c r="K232" s="67"/>
    </row>
    <row r="233" ht="14.25" customHeight="1">
      <c r="D233" s="67"/>
      <c r="I233" s="78"/>
      <c r="K233" s="67"/>
    </row>
    <row r="234" ht="14.25" customHeight="1">
      <c r="D234" s="67"/>
      <c r="I234" s="78"/>
      <c r="K234" s="67"/>
    </row>
    <row r="235" ht="14.25" customHeight="1">
      <c r="D235" s="67"/>
      <c r="I235" s="78"/>
      <c r="K235" s="67"/>
    </row>
    <row r="236" ht="14.25" customHeight="1">
      <c r="D236" s="67"/>
      <c r="I236" s="78"/>
      <c r="K236" s="67"/>
    </row>
    <row r="237" ht="14.25" customHeight="1">
      <c r="D237" s="67"/>
      <c r="I237" s="78"/>
      <c r="K237" s="67"/>
    </row>
    <row r="238" ht="14.25" customHeight="1">
      <c r="D238" s="67"/>
      <c r="I238" s="78"/>
      <c r="K238" s="67"/>
    </row>
    <row r="239" ht="14.25" customHeight="1">
      <c r="D239" s="67"/>
      <c r="I239" s="78"/>
      <c r="K239" s="67"/>
    </row>
    <row r="240" ht="14.25" customHeight="1">
      <c r="D240" s="67"/>
      <c r="I240" s="78"/>
      <c r="K240" s="67"/>
    </row>
    <row r="241" ht="14.25" customHeight="1">
      <c r="D241" s="67"/>
      <c r="I241" s="78"/>
      <c r="K241" s="67"/>
    </row>
    <row r="242" ht="14.25" customHeight="1">
      <c r="D242" s="67"/>
      <c r="I242" s="78"/>
      <c r="K242" s="67"/>
    </row>
    <row r="243" ht="14.25" customHeight="1">
      <c r="D243" s="67"/>
      <c r="I243" s="78"/>
      <c r="K243" s="67"/>
    </row>
    <row r="244" ht="14.25" customHeight="1">
      <c r="D244" s="67"/>
      <c r="I244" s="78"/>
      <c r="K244" s="67"/>
    </row>
    <row r="245" ht="14.25" customHeight="1">
      <c r="D245" s="67"/>
      <c r="I245" s="78"/>
      <c r="K245" s="67"/>
    </row>
    <row r="246" ht="14.25" customHeight="1">
      <c r="D246" s="67"/>
      <c r="I246" s="78"/>
      <c r="K246" s="67"/>
    </row>
    <row r="247" ht="14.25" customHeight="1">
      <c r="D247" s="67"/>
      <c r="I247" s="78"/>
      <c r="K247" s="67"/>
    </row>
    <row r="248" ht="14.25" customHeight="1">
      <c r="D248" s="67"/>
      <c r="I248" s="78"/>
      <c r="K248" s="67"/>
    </row>
    <row r="249" ht="14.25" customHeight="1">
      <c r="D249" s="67"/>
      <c r="I249" s="78"/>
      <c r="K249" s="67"/>
    </row>
    <row r="250" ht="14.25" customHeight="1">
      <c r="D250" s="67"/>
      <c r="I250" s="78"/>
      <c r="K250" s="67"/>
    </row>
    <row r="251" ht="14.25" customHeight="1">
      <c r="D251" s="67"/>
      <c r="I251" s="78"/>
      <c r="K251" s="67"/>
    </row>
    <row r="252" ht="14.25" customHeight="1">
      <c r="D252" s="67"/>
      <c r="I252" s="78"/>
      <c r="K252" s="67"/>
    </row>
    <row r="253" ht="14.25" customHeight="1">
      <c r="D253" s="67"/>
      <c r="I253" s="78"/>
      <c r="K253" s="67"/>
    </row>
    <row r="254" ht="14.25" customHeight="1">
      <c r="D254" s="67"/>
      <c r="I254" s="78"/>
      <c r="K254" s="67"/>
    </row>
    <row r="255" ht="14.25" customHeight="1">
      <c r="D255" s="67"/>
      <c r="I255" s="78"/>
      <c r="K255" s="67"/>
    </row>
    <row r="256" ht="14.25" customHeight="1">
      <c r="D256" s="67"/>
      <c r="I256" s="78"/>
      <c r="K256" s="67"/>
    </row>
    <row r="257" ht="14.25" customHeight="1">
      <c r="D257" s="67"/>
      <c r="I257" s="78"/>
      <c r="K257" s="67"/>
    </row>
    <row r="258" ht="14.25" customHeight="1">
      <c r="D258" s="67"/>
      <c r="I258" s="78"/>
      <c r="K258" s="67"/>
    </row>
    <row r="259" ht="14.25" customHeight="1">
      <c r="D259" s="67"/>
      <c r="I259" s="78"/>
      <c r="K259" s="67"/>
    </row>
    <row r="260" ht="14.25" customHeight="1">
      <c r="D260" s="67"/>
      <c r="I260" s="78"/>
      <c r="K260" s="67"/>
    </row>
    <row r="261" ht="14.25" customHeight="1">
      <c r="D261" s="67"/>
      <c r="I261" s="78"/>
      <c r="K261" s="67"/>
    </row>
    <row r="262" ht="14.25" customHeight="1">
      <c r="D262" s="67"/>
      <c r="I262" s="78"/>
      <c r="K262" s="67"/>
    </row>
    <row r="263" ht="14.25" customHeight="1">
      <c r="D263" s="67"/>
      <c r="I263" s="78"/>
      <c r="K263" s="67"/>
    </row>
    <row r="264" ht="14.25" customHeight="1">
      <c r="D264" s="67"/>
      <c r="I264" s="78"/>
      <c r="K264" s="67"/>
    </row>
    <row r="265" ht="14.25" customHeight="1">
      <c r="D265" s="67"/>
      <c r="I265" s="78"/>
      <c r="K265" s="67"/>
    </row>
    <row r="266" ht="14.25" customHeight="1">
      <c r="D266" s="67"/>
      <c r="I266" s="78"/>
      <c r="K266" s="67"/>
    </row>
    <row r="267" ht="14.25" customHeight="1">
      <c r="D267" s="67"/>
      <c r="I267" s="78"/>
      <c r="K267" s="67"/>
    </row>
    <row r="268" ht="14.25" customHeight="1">
      <c r="D268" s="67"/>
      <c r="I268" s="78"/>
      <c r="K268" s="67"/>
    </row>
    <row r="269" ht="14.25" customHeight="1">
      <c r="D269" s="67"/>
      <c r="I269" s="78"/>
      <c r="K269" s="67"/>
    </row>
    <row r="270" ht="14.25" customHeight="1">
      <c r="D270" s="67"/>
      <c r="I270" s="78"/>
      <c r="K270" s="67"/>
    </row>
    <row r="271" ht="14.25" customHeight="1">
      <c r="D271" s="67"/>
      <c r="I271" s="78"/>
      <c r="K271" s="67"/>
    </row>
    <row r="272" ht="14.25" customHeight="1">
      <c r="D272" s="67"/>
      <c r="I272" s="78"/>
      <c r="K272" s="67"/>
    </row>
    <row r="273" ht="14.25" customHeight="1">
      <c r="D273" s="67"/>
      <c r="I273" s="78"/>
      <c r="K273" s="67"/>
    </row>
    <row r="274" ht="14.25" customHeight="1">
      <c r="D274" s="67"/>
      <c r="I274" s="78"/>
      <c r="K274" s="67"/>
    </row>
    <row r="275" ht="14.25" customHeight="1">
      <c r="D275" s="67"/>
      <c r="I275" s="78"/>
      <c r="K275" s="67"/>
    </row>
    <row r="276" ht="14.25" customHeight="1">
      <c r="D276" s="67"/>
      <c r="I276" s="78"/>
      <c r="K276" s="67"/>
    </row>
    <row r="277" ht="14.25" customHeight="1">
      <c r="D277" s="67"/>
      <c r="I277" s="78"/>
      <c r="K277" s="67"/>
    </row>
    <row r="278" ht="14.25" customHeight="1">
      <c r="D278" s="67"/>
      <c r="I278" s="78"/>
      <c r="K278" s="67"/>
    </row>
    <row r="279" ht="14.25" customHeight="1">
      <c r="D279" s="67"/>
      <c r="I279" s="78"/>
      <c r="K279" s="67"/>
    </row>
    <row r="280" ht="14.25" customHeight="1">
      <c r="D280" s="67"/>
      <c r="I280" s="78"/>
      <c r="K280" s="67"/>
    </row>
    <row r="281" ht="14.25" customHeight="1">
      <c r="D281" s="67"/>
      <c r="I281" s="78"/>
      <c r="K281" s="67"/>
    </row>
    <row r="282" ht="14.25" customHeight="1">
      <c r="D282" s="67"/>
      <c r="I282" s="78"/>
      <c r="K282" s="67"/>
    </row>
    <row r="283" ht="14.25" customHeight="1">
      <c r="D283" s="67"/>
      <c r="I283" s="78"/>
      <c r="K283" s="67"/>
    </row>
    <row r="284" ht="14.25" customHeight="1">
      <c r="D284" s="67"/>
      <c r="I284" s="78"/>
      <c r="K284" s="67"/>
    </row>
    <row r="285" ht="14.25" customHeight="1">
      <c r="D285" s="67"/>
      <c r="I285" s="78"/>
      <c r="K285" s="67"/>
    </row>
    <row r="286" ht="14.25" customHeight="1">
      <c r="D286" s="67"/>
      <c r="I286" s="78"/>
      <c r="K286" s="67"/>
    </row>
    <row r="287" ht="14.25" customHeight="1">
      <c r="D287" s="67"/>
      <c r="I287" s="78"/>
      <c r="K287" s="67"/>
    </row>
    <row r="288" ht="14.25" customHeight="1">
      <c r="D288" s="67"/>
      <c r="I288" s="78"/>
      <c r="K288" s="67"/>
    </row>
    <row r="289" ht="14.25" customHeight="1">
      <c r="D289" s="67"/>
      <c r="I289" s="78"/>
      <c r="K289" s="67"/>
    </row>
    <row r="290" ht="14.25" customHeight="1">
      <c r="D290" s="67"/>
      <c r="I290" s="78"/>
      <c r="K290" s="67"/>
    </row>
    <row r="291" ht="14.25" customHeight="1">
      <c r="D291" s="67"/>
      <c r="I291" s="78"/>
      <c r="K291" s="67"/>
    </row>
    <row r="292" ht="14.25" customHeight="1">
      <c r="D292" s="67"/>
      <c r="I292" s="78"/>
      <c r="K292" s="67"/>
    </row>
    <row r="293" ht="14.25" customHeight="1">
      <c r="D293" s="67"/>
      <c r="I293" s="78"/>
      <c r="K293" s="67"/>
    </row>
    <row r="294" ht="14.25" customHeight="1">
      <c r="D294" s="67"/>
      <c r="I294" s="78"/>
      <c r="K294" s="67"/>
    </row>
    <row r="295" ht="14.25" customHeight="1">
      <c r="D295" s="67"/>
      <c r="I295" s="78"/>
      <c r="K295" s="67"/>
    </row>
    <row r="296" ht="14.25" customHeight="1">
      <c r="D296" s="67"/>
      <c r="I296" s="78"/>
      <c r="K296" s="67"/>
    </row>
    <row r="297" ht="14.25" customHeight="1">
      <c r="D297" s="67"/>
      <c r="I297" s="78"/>
      <c r="K297" s="67"/>
    </row>
    <row r="298" ht="14.25" customHeight="1">
      <c r="D298" s="67"/>
      <c r="I298" s="78"/>
      <c r="K298" s="67"/>
    </row>
    <row r="299" ht="14.25" customHeight="1">
      <c r="D299" s="67"/>
      <c r="I299" s="78"/>
      <c r="K299" s="67"/>
    </row>
    <row r="300" ht="14.25" customHeight="1">
      <c r="D300" s="67"/>
      <c r="I300" s="78"/>
      <c r="K300" s="67"/>
    </row>
    <row r="301" ht="14.25" customHeight="1">
      <c r="D301" s="67"/>
      <c r="I301" s="78"/>
      <c r="K301" s="67"/>
    </row>
    <row r="302" ht="14.25" customHeight="1">
      <c r="D302" s="67"/>
      <c r="I302" s="78"/>
      <c r="K302" s="67"/>
    </row>
    <row r="303" ht="14.25" customHeight="1">
      <c r="D303" s="67"/>
      <c r="I303" s="78"/>
      <c r="K303" s="67"/>
    </row>
    <row r="304" ht="14.25" customHeight="1">
      <c r="D304" s="67"/>
      <c r="I304" s="78"/>
      <c r="K304" s="67"/>
    </row>
    <row r="305" ht="14.25" customHeight="1">
      <c r="D305" s="67"/>
      <c r="I305" s="78"/>
      <c r="K305" s="67"/>
    </row>
    <row r="306" ht="14.25" customHeight="1">
      <c r="D306" s="67"/>
      <c r="I306" s="78"/>
      <c r="K306" s="67"/>
    </row>
    <row r="307" ht="14.25" customHeight="1">
      <c r="D307" s="67"/>
      <c r="I307" s="78"/>
      <c r="K307" s="67"/>
    </row>
    <row r="308" ht="14.25" customHeight="1">
      <c r="D308" s="67"/>
      <c r="I308" s="78"/>
      <c r="K308" s="67"/>
    </row>
    <row r="309" ht="14.25" customHeight="1">
      <c r="D309" s="67"/>
      <c r="I309" s="78"/>
      <c r="K309" s="67"/>
    </row>
    <row r="310" ht="14.25" customHeight="1">
      <c r="D310" s="67"/>
      <c r="I310" s="78"/>
      <c r="K310" s="67"/>
    </row>
    <row r="311" ht="14.25" customHeight="1">
      <c r="D311" s="67"/>
      <c r="I311" s="78"/>
      <c r="K311" s="67"/>
    </row>
    <row r="312" ht="14.25" customHeight="1">
      <c r="D312" s="67"/>
      <c r="I312" s="78"/>
      <c r="K312" s="67"/>
    </row>
    <row r="313" ht="14.25" customHeight="1">
      <c r="D313" s="67"/>
      <c r="I313" s="78"/>
      <c r="K313" s="67"/>
    </row>
    <row r="314" ht="14.25" customHeight="1">
      <c r="D314" s="67"/>
      <c r="I314" s="78"/>
      <c r="K314" s="67"/>
    </row>
    <row r="315" ht="14.25" customHeight="1">
      <c r="D315" s="67"/>
      <c r="I315" s="78"/>
      <c r="K315" s="67"/>
    </row>
    <row r="316" ht="14.25" customHeight="1">
      <c r="D316" s="67"/>
      <c r="I316" s="78"/>
      <c r="K316" s="67"/>
    </row>
    <row r="317" ht="14.25" customHeight="1">
      <c r="D317" s="67"/>
      <c r="I317" s="78"/>
      <c r="K317" s="67"/>
    </row>
    <row r="318" ht="14.25" customHeight="1">
      <c r="D318" s="67"/>
      <c r="I318" s="78"/>
      <c r="K318" s="67"/>
    </row>
    <row r="319" ht="14.25" customHeight="1">
      <c r="D319" s="67"/>
      <c r="I319" s="78"/>
      <c r="K319" s="67"/>
    </row>
    <row r="320" ht="14.25" customHeight="1">
      <c r="D320" s="67"/>
      <c r="I320" s="78"/>
      <c r="K320" s="67"/>
    </row>
    <row r="321" ht="14.25" customHeight="1">
      <c r="D321" s="67"/>
      <c r="I321" s="78"/>
      <c r="K321" s="67"/>
    </row>
    <row r="322" ht="14.25" customHeight="1">
      <c r="D322" s="67"/>
      <c r="I322" s="78"/>
      <c r="K322" s="67"/>
    </row>
    <row r="323" ht="14.25" customHeight="1">
      <c r="D323" s="67"/>
      <c r="I323" s="78"/>
      <c r="K323" s="67"/>
    </row>
    <row r="324" ht="14.25" customHeight="1">
      <c r="D324" s="67"/>
      <c r="I324" s="78"/>
      <c r="K324" s="67"/>
    </row>
    <row r="325" ht="14.25" customHeight="1">
      <c r="D325" s="67"/>
      <c r="I325" s="78"/>
      <c r="K325" s="67"/>
    </row>
    <row r="326" ht="14.25" customHeight="1">
      <c r="D326" s="67"/>
      <c r="I326" s="78"/>
      <c r="K326" s="67"/>
    </row>
    <row r="327" ht="14.25" customHeight="1">
      <c r="D327" s="67"/>
      <c r="I327" s="78"/>
      <c r="K327" s="67"/>
    </row>
    <row r="328" ht="14.25" customHeight="1">
      <c r="D328" s="67"/>
      <c r="I328" s="78"/>
      <c r="K328" s="67"/>
    </row>
    <row r="329" ht="14.25" customHeight="1">
      <c r="D329" s="67"/>
      <c r="I329" s="78"/>
      <c r="K329" s="67"/>
    </row>
    <row r="330" ht="14.25" customHeight="1">
      <c r="D330" s="67"/>
      <c r="I330" s="78"/>
      <c r="K330" s="67"/>
    </row>
    <row r="331" ht="14.25" customHeight="1">
      <c r="D331" s="67"/>
      <c r="I331" s="78"/>
      <c r="K331" s="67"/>
    </row>
    <row r="332" ht="14.25" customHeight="1">
      <c r="D332" s="67"/>
      <c r="I332" s="78"/>
      <c r="K332" s="67"/>
    </row>
    <row r="333" ht="14.25" customHeight="1">
      <c r="D333" s="67"/>
      <c r="I333" s="78"/>
      <c r="K333" s="67"/>
    </row>
    <row r="334" ht="14.25" customHeight="1">
      <c r="D334" s="67"/>
      <c r="I334" s="78"/>
      <c r="K334" s="67"/>
    </row>
    <row r="335" ht="14.25" customHeight="1">
      <c r="D335" s="67"/>
      <c r="I335" s="78"/>
      <c r="K335" s="67"/>
    </row>
    <row r="336" ht="14.25" customHeight="1">
      <c r="D336" s="67"/>
      <c r="I336" s="78"/>
      <c r="K336" s="67"/>
    </row>
    <row r="337" ht="14.25" customHeight="1">
      <c r="D337" s="67"/>
      <c r="I337" s="78"/>
      <c r="K337" s="67"/>
    </row>
    <row r="338" ht="14.25" customHeight="1">
      <c r="D338" s="67"/>
      <c r="I338" s="78"/>
      <c r="K338" s="67"/>
    </row>
    <row r="339" ht="14.25" customHeight="1">
      <c r="D339" s="67"/>
      <c r="I339" s="78"/>
      <c r="K339" s="67"/>
    </row>
    <row r="340" ht="14.25" customHeight="1">
      <c r="D340" s="67"/>
      <c r="I340" s="78"/>
      <c r="K340" s="67"/>
    </row>
    <row r="341" ht="14.25" customHeight="1">
      <c r="D341" s="67"/>
      <c r="I341" s="78"/>
      <c r="K341" s="67"/>
    </row>
    <row r="342" ht="14.25" customHeight="1">
      <c r="D342" s="67"/>
      <c r="I342" s="78"/>
      <c r="K342" s="67"/>
    </row>
    <row r="343" ht="14.25" customHeight="1">
      <c r="D343" s="67"/>
      <c r="I343" s="78"/>
      <c r="K343" s="67"/>
    </row>
    <row r="344" ht="14.25" customHeight="1">
      <c r="D344" s="67"/>
      <c r="I344" s="78"/>
      <c r="K344" s="67"/>
    </row>
    <row r="345" ht="14.25" customHeight="1">
      <c r="D345" s="67"/>
      <c r="I345" s="78"/>
      <c r="K345" s="67"/>
    </row>
    <row r="346" ht="14.25" customHeight="1">
      <c r="D346" s="67"/>
      <c r="I346" s="78"/>
      <c r="K346" s="67"/>
    </row>
    <row r="347" ht="14.25" customHeight="1">
      <c r="D347" s="67"/>
      <c r="I347" s="78"/>
      <c r="K347" s="67"/>
    </row>
    <row r="348" ht="14.25" customHeight="1">
      <c r="D348" s="67"/>
      <c r="I348" s="78"/>
      <c r="K348" s="67"/>
    </row>
    <row r="349" ht="14.25" customHeight="1">
      <c r="D349" s="67"/>
      <c r="I349" s="78"/>
      <c r="K349" s="67"/>
    </row>
    <row r="350" ht="14.25" customHeight="1">
      <c r="D350" s="67"/>
      <c r="I350" s="78"/>
      <c r="K350" s="67"/>
    </row>
    <row r="351" ht="14.25" customHeight="1">
      <c r="D351" s="67"/>
      <c r="I351" s="78"/>
      <c r="K351" s="67"/>
    </row>
    <row r="352" ht="14.25" customHeight="1">
      <c r="D352" s="67"/>
      <c r="I352" s="78"/>
      <c r="K352" s="67"/>
    </row>
    <row r="353" ht="14.25" customHeight="1">
      <c r="D353" s="67"/>
      <c r="I353" s="78"/>
      <c r="K353" s="67"/>
    </row>
    <row r="354" ht="14.25" customHeight="1">
      <c r="D354" s="67"/>
      <c r="I354" s="78"/>
      <c r="K354" s="67"/>
    </row>
    <row r="355" ht="14.25" customHeight="1">
      <c r="D355" s="67"/>
      <c r="I355" s="78"/>
      <c r="K355" s="67"/>
    </row>
    <row r="356" ht="14.25" customHeight="1">
      <c r="D356" s="67"/>
      <c r="I356" s="78"/>
      <c r="K356" s="67"/>
    </row>
    <row r="357" ht="14.25" customHeight="1">
      <c r="D357" s="67"/>
      <c r="I357" s="78"/>
      <c r="K357" s="67"/>
    </row>
    <row r="358" ht="14.25" customHeight="1">
      <c r="D358" s="67"/>
      <c r="I358" s="78"/>
      <c r="K358" s="67"/>
    </row>
    <row r="359" ht="14.25" customHeight="1">
      <c r="D359" s="67"/>
      <c r="I359" s="78"/>
      <c r="K359" s="67"/>
    </row>
    <row r="360" ht="14.25" customHeight="1">
      <c r="D360" s="67"/>
      <c r="I360" s="78"/>
      <c r="K360" s="67"/>
    </row>
    <row r="361" ht="14.25" customHeight="1">
      <c r="D361" s="67"/>
      <c r="I361" s="78"/>
      <c r="K361" s="67"/>
    </row>
    <row r="362" ht="14.25" customHeight="1">
      <c r="D362" s="67"/>
      <c r="I362" s="78"/>
      <c r="K362" s="67"/>
    </row>
    <row r="363" ht="14.25" customHeight="1">
      <c r="D363" s="67"/>
      <c r="I363" s="78"/>
      <c r="K363" s="67"/>
    </row>
    <row r="364" ht="14.25" customHeight="1">
      <c r="D364" s="67"/>
      <c r="I364" s="78"/>
      <c r="K364" s="67"/>
    </row>
    <row r="365" ht="14.25" customHeight="1">
      <c r="D365" s="67"/>
      <c r="I365" s="78"/>
      <c r="K365" s="67"/>
    </row>
    <row r="366" ht="14.25" customHeight="1">
      <c r="D366" s="67"/>
      <c r="I366" s="78"/>
      <c r="K366" s="67"/>
    </row>
    <row r="367" ht="14.25" customHeight="1">
      <c r="D367" s="67"/>
      <c r="I367" s="78"/>
      <c r="K367" s="67"/>
    </row>
    <row r="368" ht="14.25" customHeight="1">
      <c r="D368" s="67"/>
      <c r="I368" s="78"/>
      <c r="K368" s="67"/>
    </row>
    <row r="369" ht="14.25" customHeight="1">
      <c r="D369" s="67"/>
      <c r="I369" s="78"/>
      <c r="K369" s="67"/>
    </row>
    <row r="370" ht="14.25" customHeight="1">
      <c r="D370" s="67"/>
      <c r="I370" s="78"/>
      <c r="K370" s="67"/>
    </row>
    <row r="371" ht="14.25" customHeight="1">
      <c r="D371" s="67"/>
      <c r="I371" s="78"/>
      <c r="K371" s="67"/>
    </row>
    <row r="372" ht="14.25" customHeight="1">
      <c r="D372" s="67"/>
      <c r="I372" s="78"/>
      <c r="K372" s="67"/>
    </row>
    <row r="373" ht="14.25" customHeight="1">
      <c r="D373" s="67"/>
      <c r="I373" s="78"/>
      <c r="K373" s="67"/>
    </row>
    <row r="374" ht="14.25" customHeight="1">
      <c r="D374" s="67"/>
      <c r="I374" s="78"/>
      <c r="K374" s="67"/>
    </row>
    <row r="375" ht="14.25" customHeight="1">
      <c r="D375" s="67"/>
      <c r="I375" s="78"/>
      <c r="K375" s="67"/>
    </row>
    <row r="376" ht="14.25" customHeight="1">
      <c r="D376" s="67"/>
      <c r="I376" s="78"/>
      <c r="K376" s="67"/>
    </row>
    <row r="377" ht="14.25" customHeight="1">
      <c r="D377" s="67"/>
      <c r="I377" s="78"/>
      <c r="K377" s="67"/>
    </row>
    <row r="378" ht="14.25" customHeight="1">
      <c r="D378" s="67"/>
      <c r="I378" s="78"/>
      <c r="K378" s="67"/>
    </row>
    <row r="379" ht="14.25" customHeight="1">
      <c r="D379" s="67"/>
      <c r="I379" s="78"/>
      <c r="K379" s="67"/>
    </row>
    <row r="380" ht="14.25" customHeight="1">
      <c r="D380" s="67"/>
      <c r="I380" s="78"/>
      <c r="K380" s="67"/>
    </row>
    <row r="381" ht="14.25" customHeight="1">
      <c r="D381" s="67"/>
      <c r="I381" s="78"/>
      <c r="K381" s="67"/>
    </row>
    <row r="382" ht="14.25" customHeight="1">
      <c r="D382" s="67"/>
      <c r="I382" s="78"/>
      <c r="K382" s="67"/>
    </row>
    <row r="383" ht="14.25" customHeight="1">
      <c r="D383" s="67"/>
      <c r="I383" s="78"/>
      <c r="K383" s="67"/>
    </row>
    <row r="384" ht="14.25" customHeight="1">
      <c r="D384" s="67"/>
      <c r="I384" s="78"/>
      <c r="K384" s="67"/>
    </row>
    <row r="385" ht="14.25" customHeight="1">
      <c r="D385" s="67"/>
      <c r="I385" s="78"/>
      <c r="K385" s="67"/>
    </row>
    <row r="386" ht="14.25" customHeight="1">
      <c r="D386" s="67"/>
      <c r="I386" s="78"/>
      <c r="K386" s="67"/>
    </row>
    <row r="387" ht="14.25" customHeight="1">
      <c r="D387" s="67"/>
      <c r="I387" s="78"/>
      <c r="K387" s="67"/>
    </row>
    <row r="388" ht="14.25" customHeight="1">
      <c r="D388" s="67"/>
      <c r="I388" s="78"/>
      <c r="K388" s="67"/>
    </row>
    <row r="389" ht="14.25" customHeight="1">
      <c r="D389" s="67"/>
      <c r="I389" s="78"/>
      <c r="K389" s="67"/>
    </row>
    <row r="390" ht="14.25" customHeight="1">
      <c r="D390" s="67"/>
      <c r="I390" s="78"/>
      <c r="K390" s="67"/>
    </row>
    <row r="391" ht="14.25" customHeight="1">
      <c r="D391" s="67"/>
      <c r="I391" s="78"/>
      <c r="K391" s="67"/>
    </row>
    <row r="392" ht="14.25" customHeight="1">
      <c r="D392" s="67"/>
      <c r="I392" s="78"/>
      <c r="K392" s="67"/>
    </row>
    <row r="393" ht="14.25" customHeight="1">
      <c r="D393" s="67"/>
      <c r="I393" s="78"/>
      <c r="K393" s="67"/>
    </row>
    <row r="394" ht="14.25" customHeight="1">
      <c r="D394" s="67"/>
      <c r="I394" s="78"/>
      <c r="K394" s="67"/>
    </row>
    <row r="395" ht="14.25" customHeight="1">
      <c r="D395" s="67"/>
      <c r="I395" s="78"/>
      <c r="K395" s="67"/>
    </row>
    <row r="396" ht="14.25" customHeight="1">
      <c r="D396" s="67"/>
      <c r="I396" s="78"/>
      <c r="K396" s="67"/>
    </row>
    <row r="397" ht="14.25" customHeight="1">
      <c r="D397" s="67"/>
      <c r="I397" s="78"/>
      <c r="K397" s="67"/>
    </row>
    <row r="398" ht="14.25" customHeight="1">
      <c r="D398" s="67"/>
      <c r="I398" s="78"/>
      <c r="K398" s="67"/>
    </row>
    <row r="399" ht="14.25" customHeight="1">
      <c r="D399" s="67"/>
      <c r="I399" s="78"/>
      <c r="K399" s="67"/>
    </row>
    <row r="400" ht="14.25" customHeight="1">
      <c r="D400" s="67"/>
      <c r="I400" s="78"/>
      <c r="K400" s="67"/>
    </row>
    <row r="401" ht="14.25" customHeight="1">
      <c r="D401" s="67"/>
      <c r="I401" s="78"/>
      <c r="K401" s="67"/>
    </row>
    <row r="402" ht="14.25" customHeight="1">
      <c r="D402" s="67"/>
      <c r="I402" s="78"/>
      <c r="K402" s="67"/>
    </row>
    <row r="403" ht="14.25" customHeight="1">
      <c r="D403" s="67"/>
      <c r="I403" s="78"/>
      <c r="K403" s="67"/>
    </row>
    <row r="404" ht="14.25" customHeight="1">
      <c r="D404" s="67"/>
      <c r="I404" s="78"/>
      <c r="K404" s="67"/>
    </row>
    <row r="405" ht="14.25" customHeight="1">
      <c r="D405" s="67"/>
      <c r="I405" s="78"/>
      <c r="K405" s="67"/>
    </row>
    <row r="406" ht="14.25" customHeight="1">
      <c r="D406" s="67"/>
      <c r="I406" s="78"/>
      <c r="K406" s="67"/>
    </row>
    <row r="407" ht="14.25" customHeight="1">
      <c r="D407" s="67"/>
      <c r="I407" s="78"/>
      <c r="K407" s="67"/>
    </row>
    <row r="408" ht="14.25" customHeight="1">
      <c r="D408" s="67"/>
      <c r="I408" s="78"/>
      <c r="K408" s="67"/>
    </row>
    <row r="409" ht="14.25" customHeight="1">
      <c r="D409" s="67"/>
      <c r="I409" s="78"/>
      <c r="K409" s="67"/>
    </row>
    <row r="410" ht="14.25" customHeight="1">
      <c r="D410" s="67"/>
      <c r="I410" s="78"/>
      <c r="K410" s="67"/>
    </row>
    <row r="411" ht="14.25" customHeight="1">
      <c r="D411" s="67"/>
      <c r="I411" s="78"/>
      <c r="K411" s="67"/>
    </row>
    <row r="412" ht="14.25" customHeight="1">
      <c r="D412" s="67"/>
      <c r="I412" s="78"/>
      <c r="K412" s="67"/>
    </row>
    <row r="413" ht="14.25" customHeight="1">
      <c r="D413" s="67"/>
      <c r="I413" s="78"/>
      <c r="K413" s="67"/>
    </row>
    <row r="414" ht="14.25" customHeight="1">
      <c r="D414" s="67"/>
      <c r="I414" s="78"/>
      <c r="K414" s="67"/>
    </row>
    <row r="415" ht="14.25" customHeight="1">
      <c r="D415" s="67"/>
      <c r="I415" s="78"/>
      <c r="K415" s="67"/>
    </row>
    <row r="416" ht="14.25" customHeight="1">
      <c r="D416" s="67"/>
      <c r="I416" s="78"/>
      <c r="K416" s="67"/>
    </row>
    <row r="417" ht="14.25" customHeight="1">
      <c r="D417" s="67"/>
      <c r="I417" s="78"/>
      <c r="K417" s="67"/>
    </row>
    <row r="418" ht="14.25" customHeight="1">
      <c r="D418" s="67"/>
      <c r="I418" s="78"/>
      <c r="K418" s="67"/>
    </row>
    <row r="419" ht="14.25" customHeight="1">
      <c r="D419" s="67"/>
      <c r="I419" s="78"/>
      <c r="K419" s="67"/>
    </row>
    <row r="420" ht="14.25" customHeight="1">
      <c r="D420" s="67"/>
      <c r="I420" s="78"/>
      <c r="K420" s="67"/>
    </row>
    <row r="421" ht="14.25" customHeight="1">
      <c r="D421" s="67"/>
      <c r="I421" s="78"/>
      <c r="K421" s="67"/>
    </row>
    <row r="422" ht="14.25" customHeight="1">
      <c r="D422" s="67"/>
      <c r="I422" s="78"/>
      <c r="K422" s="67"/>
    </row>
    <row r="423" ht="14.25" customHeight="1">
      <c r="D423" s="67"/>
      <c r="I423" s="78"/>
      <c r="K423" s="67"/>
    </row>
    <row r="424" ht="14.25" customHeight="1">
      <c r="D424" s="67"/>
      <c r="I424" s="78"/>
      <c r="K424" s="67"/>
    </row>
    <row r="425" ht="14.25" customHeight="1">
      <c r="D425" s="67"/>
      <c r="I425" s="78"/>
      <c r="K425" s="67"/>
    </row>
    <row r="426" ht="14.25" customHeight="1">
      <c r="D426" s="67"/>
      <c r="I426" s="78"/>
      <c r="K426" s="67"/>
    </row>
    <row r="427" ht="14.25" customHeight="1">
      <c r="D427" s="67"/>
      <c r="I427" s="78"/>
      <c r="K427" s="67"/>
    </row>
    <row r="428" ht="14.25" customHeight="1">
      <c r="D428" s="67"/>
      <c r="I428" s="78"/>
      <c r="K428" s="67"/>
    </row>
    <row r="429" ht="14.25" customHeight="1">
      <c r="D429" s="67"/>
      <c r="I429" s="78"/>
      <c r="K429" s="67"/>
    </row>
    <row r="430" ht="14.25" customHeight="1">
      <c r="D430" s="67"/>
      <c r="I430" s="78"/>
      <c r="K430" s="67"/>
    </row>
    <row r="431" ht="14.25" customHeight="1">
      <c r="D431" s="67"/>
      <c r="I431" s="78"/>
      <c r="K431" s="67"/>
    </row>
    <row r="432" ht="14.25" customHeight="1">
      <c r="D432" s="67"/>
      <c r="I432" s="78"/>
      <c r="K432" s="67"/>
    </row>
    <row r="433" ht="14.25" customHeight="1">
      <c r="D433" s="67"/>
      <c r="I433" s="78"/>
      <c r="K433" s="67"/>
    </row>
    <row r="434" ht="14.25" customHeight="1">
      <c r="D434" s="67"/>
      <c r="I434" s="78"/>
      <c r="K434" s="67"/>
    </row>
    <row r="435" ht="14.25" customHeight="1">
      <c r="D435" s="67"/>
      <c r="I435" s="78"/>
      <c r="K435" s="67"/>
    </row>
    <row r="436" ht="14.25" customHeight="1">
      <c r="D436" s="67"/>
      <c r="I436" s="78"/>
      <c r="K436" s="67"/>
    </row>
    <row r="437" ht="14.25" customHeight="1">
      <c r="D437" s="67"/>
      <c r="I437" s="78"/>
      <c r="K437" s="67"/>
    </row>
    <row r="438" ht="14.25" customHeight="1">
      <c r="D438" s="67"/>
      <c r="I438" s="78"/>
      <c r="K438" s="67"/>
    </row>
    <row r="439" ht="14.25" customHeight="1">
      <c r="D439" s="67"/>
      <c r="I439" s="78"/>
      <c r="K439" s="67"/>
    </row>
    <row r="440" ht="14.25" customHeight="1">
      <c r="D440" s="67"/>
      <c r="I440" s="78"/>
      <c r="K440" s="67"/>
    </row>
    <row r="441" ht="14.25" customHeight="1">
      <c r="D441" s="67"/>
      <c r="I441" s="78"/>
      <c r="K441" s="67"/>
    </row>
    <row r="442" ht="14.25" customHeight="1">
      <c r="D442" s="67"/>
      <c r="I442" s="78"/>
      <c r="K442" s="67"/>
    </row>
    <row r="443" ht="14.25" customHeight="1">
      <c r="D443" s="67"/>
      <c r="I443" s="78"/>
      <c r="K443" s="67"/>
    </row>
    <row r="444" ht="14.25" customHeight="1">
      <c r="D444" s="67"/>
      <c r="I444" s="78"/>
      <c r="K444" s="67"/>
    </row>
    <row r="445" ht="14.25" customHeight="1">
      <c r="D445" s="67"/>
      <c r="I445" s="78"/>
      <c r="K445" s="67"/>
    </row>
    <row r="446" ht="14.25" customHeight="1">
      <c r="D446" s="67"/>
      <c r="I446" s="78"/>
      <c r="K446" s="67"/>
    </row>
    <row r="447" ht="14.25" customHeight="1">
      <c r="D447" s="67"/>
      <c r="I447" s="78"/>
      <c r="K447" s="67"/>
    </row>
    <row r="448" ht="14.25" customHeight="1">
      <c r="D448" s="67"/>
      <c r="I448" s="78"/>
      <c r="K448" s="67"/>
    </row>
    <row r="449" ht="14.25" customHeight="1">
      <c r="D449" s="67"/>
      <c r="I449" s="78"/>
      <c r="K449" s="67"/>
    </row>
    <row r="450" ht="14.25" customHeight="1">
      <c r="D450" s="67"/>
      <c r="I450" s="78"/>
      <c r="K450" s="67"/>
    </row>
    <row r="451" ht="14.25" customHeight="1">
      <c r="D451" s="67"/>
      <c r="I451" s="78"/>
      <c r="K451" s="67"/>
    </row>
    <row r="452" ht="14.25" customHeight="1">
      <c r="D452" s="67"/>
      <c r="I452" s="78"/>
      <c r="K452" s="67"/>
    </row>
    <row r="453" ht="14.25" customHeight="1">
      <c r="D453" s="67"/>
      <c r="I453" s="78"/>
      <c r="K453" s="67"/>
    </row>
    <row r="454" ht="14.25" customHeight="1">
      <c r="D454" s="67"/>
      <c r="I454" s="78"/>
      <c r="K454" s="67"/>
    </row>
    <row r="455" ht="14.25" customHeight="1">
      <c r="D455" s="67"/>
      <c r="I455" s="78"/>
      <c r="K455" s="67"/>
    </row>
    <row r="456" ht="14.25" customHeight="1">
      <c r="D456" s="67"/>
      <c r="I456" s="78"/>
      <c r="K456" s="67"/>
    </row>
    <row r="457" ht="14.25" customHeight="1">
      <c r="D457" s="67"/>
      <c r="I457" s="78"/>
      <c r="K457" s="67"/>
    </row>
    <row r="458" ht="14.25" customHeight="1">
      <c r="D458" s="67"/>
      <c r="I458" s="78"/>
      <c r="K458" s="67"/>
    </row>
    <row r="459" ht="14.25" customHeight="1">
      <c r="D459" s="67"/>
      <c r="I459" s="78"/>
      <c r="K459" s="67"/>
    </row>
    <row r="460" ht="14.25" customHeight="1">
      <c r="D460" s="67"/>
      <c r="I460" s="78"/>
      <c r="K460" s="67"/>
    </row>
    <row r="461" ht="14.25" customHeight="1">
      <c r="D461" s="67"/>
      <c r="I461" s="78"/>
      <c r="K461" s="67"/>
    </row>
    <row r="462" ht="14.25" customHeight="1">
      <c r="D462" s="67"/>
      <c r="I462" s="78"/>
      <c r="K462" s="67"/>
    </row>
    <row r="463" ht="14.25" customHeight="1">
      <c r="D463" s="67"/>
      <c r="I463" s="78"/>
      <c r="K463" s="67"/>
    </row>
    <row r="464" ht="14.25" customHeight="1">
      <c r="D464" s="67"/>
      <c r="I464" s="78"/>
      <c r="K464" s="67"/>
    </row>
    <row r="465" ht="14.25" customHeight="1">
      <c r="D465" s="67"/>
      <c r="I465" s="78"/>
      <c r="K465" s="67"/>
    </row>
    <row r="466" ht="14.25" customHeight="1">
      <c r="D466" s="67"/>
      <c r="I466" s="78"/>
      <c r="K466" s="67"/>
    </row>
    <row r="467" ht="14.25" customHeight="1">
      <c r="D467" s="67"/>
      <c r="I467" s="78"/>
      <c r="K467" s="67"/>
    </row>
    <row r="468" ht="14.25" customHeight="1">
      <c r="D468" s="67"/>
      <c r="I468" s="78"/>
      <c r="K468" s="67"/>
    </row>
    <row r="469" ht="14.25" customHeight="1">
      <c r="D469" s="67"/>
      <c r="I469" s="78"/>
      <c r="K469" s="67"/>
    </row>
    <row r="470" ht="14.25" customHeight="1">
      <c r="D470" s="67"/>
      <c r="I470" s="78"/>
      <c r="K470" s="67"/>
    </row>
    <row r="471" ht="14.25" customHeight="1">
      <c r="D471" s="67"/>
      <c r="I471" s="78"/>
      <c r="K471" s="67"/>
    </row>
    <row r="472" ht="14.25" customHeight="1">
      <c r="D472" s="67"/>
      <c r="I472" s="78"/>
      <c r="K472" s="67"/>
    </row>
    <row r="473" ht="14.25" customHeight="1">
      <c r="D473" s="67"/>
      <c r="I473" s="78"/>
      <c r="K473" s="67"/>
    </row>
    <row r="474" ht="14.25" customHeight="1">
      <c r="D474" s="67"/>
      <c r="I474" s="78"/>
      <c r="K474" s="67"/>
    </row>
    <row r="475" ht="14.25" customHeight="1">
      <c r="D475" s="67"/>
      <c r="I475" s="78"/>
      <c r="K475" s="67"/>
    </row>
    <row r="476" ht="14.25" customHeight="1">
      <c r="D476" s="67"/>
      <c r="I476" s="78"/>
      <c r="K476" s="67"/>
    </row>
    <row r="477" ht="14.25" customHeight="1">
      <c r="D477" s="67"/>
      <c r="I477" s="78"/>
      <c r="K477" s="67"/>
    </row>
    <row r="478" ht="14.25" customHeight="1">
      <c r="D478" s="67"/>
      <c r="I478" s="78"/>
      <c r="K478" s="67"/>
    </row>
    <row r="479" ht="14.25" customHeight="1">
      <c r="D479" s="67"/>
      <c r="I479" s="78"/>
      <c r="K479" s="67"/>
    </row>
    <row r="480" ht="14.25" customHeight="1">
      <c r="D480" s="67"/>
      <c r="I480" s="78"/>
      <c r="K480" s="67"/>
    </row>
    <row r="481" ht="14.25" customHeight="1">
      <c r="D481" s="67"/>
      <c r="I481" s="78"/>
      <c r="K481" s="67"/>
    </row>
    <row r="482" ht="14.25" customHeight="1">
      <c r="D482" s="67"/>
      <c r="I482" s="78"/>
      <c r="K482" s="67"/>
    </row>
    <row r="483" ht="14.25" customHeight="1">
      <c r="D483" s="67"/>
      <c r="I483" s="78"/>
      <c r="K483" s="67"/>
    </row>
    <row r="484" ht="14.25" customHeight="1">
      <c r="D484" s="67"/>
      <c r="I484" s="78"/>
      <c r="K484" s="67"/>
    </row>
    <row r="485" ht="14.25" customHeight="1">
      <c r="D485" s="67"/>
      <c r="I485" s="78"/>
      <c r="K485" s="67"/>
    </row>
    <row r="486" ht="14.25" customHeight="1">
      <c r="D486" s="67"/>
      <c r="I486" s="78"/>
      <c r="K486" s="67"/>
    </row>
    <row r="487" ht="14.25" customHeight="1">
      <c r="D487" s="67"/>
      <c r="I487" s="78"/>
      <c r="K487" s="67"/>
    </row>
    <row r="488" ht="14.25" customHeight="1">
      <c r="D488" s="67"/>
      <c r="I488" s="78"/>
      <c r="K488" s="67"/>
    </row>
    <row r="489" ht="14.25" customHeight="1">
      <c r="D489" s="67"/>
      <c r="I489" s="78"/>
      <c r="K489" s="67"/>
    </row>
    <row r="490" ht="14.25" customHeight="1">
      <c r="D490" s="67"/>
      <c r="I490" s="78"/>
      <c r="K490" s="67"/>
    </row>
    <row r="491" ht="14.25" customHeight="1">
      <c r="D491" s="67"/>
      <c r="I491" s="78"/>
      <c r="K491" s="67"/>
    </row>
    <row r="492" ht="14.25" customHeight="1">
      <c r="D492" s="67"/>
      <c r="I492" s="78"/>
      <c r="K492" s="67"/>
    </row>
    <row r="493" ht="14.25" customHeight="1">
      <c r="D493" s="67"/>
      <c r="I493" s="78"/>
      <c r="K493" s="67"/>
    </row>
    <row r="494" ht="14.25" customHeight="1">
      <c r="D494" s="67"/>
      <c r="I494" s="78"/>
      <c r="K494" s="67"/>
    </row>
    <row r="495" ht="14.25" customHeight="1">
      <c r="D495" s="67"/>
      <c r="I495" s="78"/>
      <c r="K495" s="67"/>
    </row>
    <row r="496" ht="14.25" customHeight="1">
      <c r="D496" s="67"/>
      <c r="I496" s="78"/>
      <c r="K496" s="67"/>
    </row>
    <row r="497" ht="14.25" customHeight="1">
      <c r="D497" s="67"/>
      <c r="I497" s="78"/>
      <c r="K497" s="67"/>
    </row>
    <row r="498" ht="14.25" customHeight="1">
      <c r="D498" s="67"/>
      <c r="I498" s="78"/>
      <c r="K498" s="67"/>
    </row>
    <row r="499" ht="14.25" customHeight="1">
      <c r="D499" s="67"/>
      <c r="I499" s="78"/>
      <c r="K499" s="67"/>
    </row>
    <row r="500" ht="14.25" customHeight="1">
      <c r="D500" s="67"/>
      <c r="I500" s="78"/>
      <c r="K500" s="67"/>
    </row>
    <row r="501" ht="14.25" customHeight="1">
      <c r="D501" s="67"/>
      <c r="I501" s="78"/>
      <c r="K501" s="67"/>
    </row>
    <row r="502" ht="14.25" customHeight="1">
      <c r="D502" s="67"/>
      <c r="I502" s="78"/>
      <c r="K502" s="67"/>
    </row>
    <row r="503" ht="14.25" customHeight="1">
      <c r="D503" s="67"/>
      <c r="I503" s="78"/>
      <c r="K503" s="67"/>
    </row>
    <row r="504" ht="14.25" customHeight="1">
      <c r="D504" s="67"/>
      <c r="I504" s="78"/>
      <c r="K504" s="67"/>
    </row>
    <row r="505" ht="14.25" customHeight="1">
      <c r="D505" s="67"/>
      <c r="I505" s="78"/>
      <c r="K505" s="67"/>
    </row>
    <row r="506" ht="14.25" customHeight="1">
      <c r="D506" s="67"/>
      <c r="I506" s="78"/>
      <c r="K506" s="67"/>
    </row>
    <row r="507" ht="14.25" customHeight="1">
      <c r="D507" s="67"/>
      <c r="I507" s="78"/>
      <c r="K507" s="67"/>
    </row>
    <row r="508" ht="14.25" customHeight="1">
      <c r="D508" s="67"/>
      <c r="I508" s="78"/>
      <c r="K508" s="67"/>
    </row>
    <row r="509" ht="14.25" customHeight="1">
      <c r="D509" s="67"/>
      <c r="I509" s="78"/>
      <c r="K509" s="67"/>
    </row>
    <row r="510" ht="14.25" customHeight="1">
      <c r="D510" s="67"/>
      <c r="I510" s="78"/>
      <c r="K510" s="67"/>
    </row>
    <row r="511" ht="14.25" customHeight="1">
      <c r="D511" s="67"/>
      <c r="I511" s="78"/>
      <c r="K511" s="67"/>
    </row>
    <row r="512" ht="14.25" customHeight="1">
      <c r="D512" s="67"/>
      <c r="I512" s="78"/>
      <c r="K512" s="67"/>
    </row>
    <row r="513" ht="14.25" customHeight="1">
      <c r="D513" s="67"/>
      <c r="I513" s="78"/>
      <c r="K513" s="67"/>
    </row>
    <row r="514" ht="14.25" customHeight="1">
      <c r="D514" s="67"/>
      <c r="I514" s="78"/>
      <c r="K514" s="67"/>
    </row>
    <row r="515" ht="14.25" customHeight="1">
      <c r="D515" s="67"/>
      <c r="I515" s="78"/>
      <c r="K515" s="67"/>
    </row>
    <row r="516" ht="14.25" customHeight="1">
      <c r="D516" s="67"/>
      <c r="I516" s="78"/>
      <c r="K516" s="67"/>
    </row>
    <row r="517" ht="14.25" customHeight="1">
      <c r="D517" s="67"/>
      <c r="I517" s="78"/>
      <c r="K517" s="67"/>
    </row>
    <row r="518" ht="14.25" customHeight="1">
      <c r="D518" s="67"/>
      <c r="I518" s="78"/>
      <c r="K518" s="67"/>
    </row>
    <row r="519" ht="14.25" customHeight="1">
      <c r="D519" s="67"/>
      <c r="I519" s="78"/>
      <c r="K519" s="67"/>
    </row>
    <row r="520" ht="14.25" customHeight="1">
      <c r="D520" s="67"/>
      <c r="I520" s="78"/>
      <c r="K520" s="67"/>
    </row>
    <row r="521" ht="14.25" customHeight="1">
      <c r="D521" s="67"/>
      <c r="I521" s="78"/>
      <c r="K521" s="67"/>
    </row>
    <row r="522" ht="14.25" customHeight="1">
      <c r="D522" s="67"/>
      <c r="I522" s="78"/>
      <c r="K522" s="67"/>
    </row>
    <row r="523" ht="14.25" customHeight="1">
      <c r="D523" s="67"/>
      <c r="I523" s="78"/>
      <c r="K523" s="67"/>
    </row>
    <row r="524" ht="14.25" customHeight="1">
      <c r="D524" s="67"/>
      <c r="I524" s="78"/>
      <c r="K524" s="67"/>
    </row>
    <row r="525" ht="14.25" customHeight="1">
      <c r="D525" s="67"/>
      <c r="I525" s="78"/>
      <c r="K525" s="67"/>
    </row>
    <row r="526" ht="14.25" customHeight="1">
      <c r="D526" s="67"/>
      <c r="I526" s="78"/>
      <c r="K526" s="67"/>
    </row>
    <row r="527" ht="14.25" customHeight="1">
      <c r="D527" s="67"/>
      <c r="I527" s="78"/>
      <c r="K527" s="67"/>
    </row>
    <row r="528" ht="14.25" customHeight="1">
      <c r="D528" s="67"/>
      <c r="I528" s="78"/>
      <c r="K528" s="67"/>
    </row>
    <row r="529" ht="14.25" customHeight="1">
      <c r="D529" s="67"/>
      <c r="I529" s="78"/>
      <c r="K529" s="67"/>
    </row>
    <row r="530" ht="14.25" customHeight="1">
      <c r="D530" s="67"/>
      <c r="I530" s="78"/>
      <c r="K530" s="67"/>
    </row>
    <row r="531" ht="14.25" customHeight="1">
      <c r="D531" s="67"/>
      <c r="I531" s="78"/>
      <c r="K531" s="67"/>
    </row>
    <row r="532" ht="14.25" customHeight="1">
      <c r="D532" s="67"/>
      <c r="I532" s="78"/>
      <c r="K532" s="67"/>
    </row>
    <row r="533" ht="14.25" customHeight="1">
      <c r="D533" s="67"/>
      <c r="I533" s="78"/>
      <c r="K533" s="67"/>
    </row>
    <row r="534" ht="14.25" customHeight="1">
      <c r="D534" s="67"/>
      <c r="I534" s="78"/>
      <c r="K534" s="67"/>
    </row>
    <row r="535" ht="14.25" customHeight="1">
      <c r="D535" s="67"/>
      <c r="I535" s="78"/>
      <c r="K535" s="67"/>
    </row>
    <row r="536" ht="14.25" customHeight="1">
      <c r="D536" s="67"/>
      <c r="I536" s="78"/>
      <c r="K536" s="67"/>
    </row>
    <row r="537" ht="14.25" customHeight="1">
      <c r="D537" s="67"/>
      <c r="I537" s="78"/>
      <c r="K537" s="67"/>
    </row>
    <row r="538" ht="14.25" customHeight="1">
      <c r="D538" s="67"/>
      <c r="I538" s="78"/>
      <c r="K538" s="67"/>
    </row>
    <row r="539" ht="14.25" customHeight="1">
      <c r="D539" s="67"/>
      <c r="I539" s="78"/>
      <c r="K539" s="67"/>
    </row>
    <row r="540" ht="14.25" customHeight="1">
      <c r="D540" s="67"/>
      <c r="I540" s="78"/>
      <c r="K540" s="67"/>
    </row>
    <row r="541" ht="14.25" customHeight="1">
      <c r="D541" s="67"/>
      <c r="I541" s="78"/>
      <c r="K541" s="67"/>
    </row>
    <row r="542" ht="14.25" customHeight="1">
      <c r="D542" s="67"/>
      <c r="I542" s="78"/>
      <c r="K542" s="67"/>
    </row>
    <row r="543" ht="14.25" customHeight="1">
      <c r="D543" s="67"/>
      <c r="I543" s="78"/>
      <c r="K543" s="67"/>
    </row>
    <row r="544" ht="14.25" customHeight="1">
      <c r="D544" s="67"/>
      <c r="I544" s="78"/>
      <c r="K544" s="67"/>
    </row>
    <row r="545" ht="14.25" customHeight="1">
      <c r="D545" s="67"/>
      <c r="I545" s="78"/>
      <c r="K545" s="67"/>
    </row>
    <row r="546" ht="14.25" customHeight="1">
      <c r="D546" s="67"/>
      <c r="I546" s="78"/>
      <c r="K546" s="67"/>
    </row>
    <row r="547" ht="14.25" customHeight="1">
      <c r="D547" s="67"/>
      <c r="I547" s="78"/>
      <c r="K547" s="67"/>
    </row>
    <row r="548" ht="14.25" customHeight="1">
      <c r="D548" s="67"/>
      <c r="I548" s="78"/>
      <c r="K548" s="67"/>
    </row>
    <row r="549" ht="14.25" customHeight="1">
      <c r="D549" s="67"/>
      <c r="I549" s="78"/>
      <c r="K549" s="67"/>
    </row>
    <row r="550" ht="14.25" customHeight="1">
      <c r="D550" s="67"/>
      <c r="I550" s="78"/>
      <c r="K550" s="67"/>
    </row>
    <row r="551" ht="14.25" customHeight="1">
      <c r="D551" s="67"/>
      <c r="I551" s="78"/>
      <c r="K551" s="67"/>
    </row>
    <row r="552" ht="14.25" customHeight="1">
      <c r="D552" s="67"/>
      <c r="I552" s="78"/>
      <c r="K552" s="67"/>
    </row>
    <row r="553" ht="14.25" customHeight="1">
      <c r="D553" s="67"/>
      <c r="I553" s="78"/>
      <c r="K553" s="67"/>
    </row>
    <row r="554" ht="14.25" customHeight="1">
      <c r="D554" s="67"/>
      <c r="I554" s="78"/>
      <c r="K554" s="67"/>
    </row>
    <row r="555" ht="14.25" customHeight="1">
      <c r="D555" s="67"/>
      <c r="I555" s="78"/>
      <c r="K555" s="67"/>
    </row>
    <row r="556" ht="14.25" customHeight="1">
      <c r="D556" s="67"/>
      <c r="I556" s="78"/>
      <c r="K556" s="67"/>
    </row>
    <row r="557" ht="14.25" customHeight="1">
      <c r="D557" s="67"/>
      <c r="I557" s="78"/>
      <c r="K557" s="67"/>
    </row>
    <row r="558" ht="14.25" customHeight="1">
      <c r="D558" s="67"/>
      <c r="I558" s="78"/>
      <c r="K558" s="67"/>
    </row>
    <row r="559" ht="14.25" customHeight="1">
      <c r="D559" s="67"/>
      <c r="I559" s="78"/>
      <c r="K559" s="67"/>
    </row>
    <row r="560" ht="14.25" customHeight="1">
      <c r="D560" s="67"/>
      <c r="I560" s="78"/>
      <c r="K560" s="67"/>
    </row>
    <row r="561" ht="14.25" customHeight="1">
      <c r="D561" s="67"/>
      <c r="I561" s="78"/>
      <c r="K561" s="67"/>
    </row>
    <row r="562" ht="14.25" customHeight="1">
      <c r="D562" s="67"/>
      <c r="I562" s="78"/>
      <c r="K562" s="67"/>
    </row>
    <row r="563" ht="14.25" customHeight="1">
      <c r="D563" s="67"/>
      <c r="I563" s="78"/>
      <c r="K563" s="67"/>
    </row>
    <row r="564" ht="14.25" customHeight="1">
      <c r="D564" s="67"/>
      <c r="I564" s="78"/>
      <c r="K564" s="67"/>
    </row>
    <row r="565" ht="14.25" customHeight="1">
      <c r="D565" s="67"/>
      <c r="I565" s="78"/>
      <c r="K565" s="67"/>
    </row>
    <row r="566" ht="14.25" customHeight="1">
      <c r="D566" s="67"/>
      <c r="I566" s="78"/>
      <c r="K566" s="67"/>
    </row>
    <row r="567" ht="14.25" customHeight="1">
      <c r="D567" s="67"/>
      <c r="I567" s="78"/>
      <c r="K567" s="67"/>
    </row>
    <row r="568" ht="14.25" customHeight="1">
      <c r="D568" s="67"/>
      <c r="I568" s="78"/>
      <c r="K568" s="67"/>
    </row>
    <row r="569" ht="14.25" customHeight="1">
      <c r="D569" s="67"/>
      <c r="I569" s="78"/>
      <c r="K569" s="67"/>
    </row>
    <row r="570" ht="14.25" customHeight="1">
      <c r="D570" s="67"/>
      <c r="I570" s="78"/>
      <c r="K570" s="67"/>
    </row>
    <row r="571" ht="14.25" customHeight="1">
      <c r="D571" s="67"/>
      <c r="I571" s="78"/>
      <c r="K571" s="67"/>
    </row>
    <row r="572" ht="14.25" customHeight="1">
      <c r="D572" s="67"/>
      <c r="I572" s="78"/>
      <c r="K572" s="67"/>
    </row>
    <row r="573" ht="14.25" customHeight="1">
      <c r="D573" s="67"/>
      <c r="I573" s="78"/>
      <c r="K573" s="67"/>
    </row>
    <row r="574" ht="14.25" customHeight="1">
      <c r="D574" s="67"/>
      <c r="I574" s="78"/>
      <c r="K574" s="67"/>
    </row>
    <row r="575" ht="14.25" customHeight="1">
      <c r="D575" s="67"/>
      <c r="I575" s="78"/>
      <c r="K575" s="67"/>
    </row>
    <row r="576" ht="14.25" customHeight="1">
      <c r="D576" s="67"/>
      <c r="I576" s="78"/>
      <c r="K576" s="67"/>
    </row>
    <row r="577" ht="14.25" customHeight="1">
      <c r="D577" s="67"/>
      <c r="I577" s="78"/>
      <c r="K577" s="67"/>
    </row>
    <row r="578" ht="14.25" customHeight="1">
      <c r="D578" s="67"/>
      <c r="I578" s="78"/>
      <c r="K578" s="67"/>
    </row>
    <row r="579" ht="14.25" customHeight="1">
      <c r="D579" s="67"/>
      <c r="I579" s="78"/>
      <c r="K579" s="67"/>
    </row>
    <row r="580" ht="14.25" customHeight="1">
      <c r="D580" s="67"/>
      <c r="I580" s="78"/>
      <c r="K580" s="67"/>
    </row>
    <row r="581" ht="14.25" customHeight="1">
      <c r="D581" s="67"/>
      <c r="I581" s="78"/>
      <c r="K581" s="67"/>
    </row>
    <row r="582" ht="14.25" customHeight="1">
      <c r="D582" s="67"/>
      <c r="I582" s="78"/>
      <c r="K582" s="67"/>
    </row>
    <row r="583" ht="14.25" customHeight="1">
      <c r="D583" s="67"/>
      <c r="I583" s="78"/>
      <c r="K583" s="67"/>
    </row>
    <row r="584" ht="14.25" customHeight="1">
      <c r="D584" s="67"/>
      <c r="I584" s="78"/>
      <c r="K584" s="67"/>
    </row>
    <row r="585" ht="14.25" customHeight="1">
      <c r="D585" s="67"/>
      <c r="I585" s="78"/>
      <c r="K585" s="67"/>
    </row>
    <row r="586" ht="14.25" customHeight="1">
      <c r="D586" s="67"/>
      <c r="I586" s="78"/>
      <c r="K586" s="67"/>
    </row>
    <row r="587" ht="14.25" customHeight="1">
      <c r="D587" s="67"/>
      <c r="I587" s="78"/>
      <c r="K587" s="67"/>
    </row>
    <row r="588" ht="14.25" customHeight="1">
      <c r="D588" s="67"/>
      <c r="I588" s="78"/>
      <c r="K588" s="67"/>
    </row>
    <row r="589" ht="14.25" customHeight="1">
      <c r="D589" s="67"/>
      <c r="I589" s="78"/>
      <c r="K589" s="67"/>
    </row>
    <row r="590" ht="14.25" customHeight="1">
      <c r="D590" s="67"/>
      <c r="I590" s="78"/>
      <c r="K590" s="67"/>
    </row>
    <row r="591" ht="14.25" customHeight="1">
      <c r="D591" s="67"/>
      <c r="I591" s="78"/>
      <c r="K591" s="67"/>
    </row>
    <row r="592" ht="14.25" customHeight="1">
      <c r="D592" s="67"/>
      <c r="I592" s="78"/>
      <c r="K592" s="67"/>
    </row>
    <row r="593" ht="14.25" customHeight="1">
      <c r="D593" s="67"/>
      <c r="I593" s="78"/>
      <c r="K593" s="67"/>
    </row>
    <row r="594" ht="14.25" customHeight="1">
      <c r="D594" s="67"/>
      <c r="I594" s="78"/>
      <c r="K594" s="67"/>
    </row>
    <row r="595" ht="14.25" customHeight="1">
      <c r="D595" s="67"/>
      <c r="I595" s="78"/>
      <c r="K595" s="67"/>
    </row>
    <row r="596" ht="14.25" customHeight="1">
      <c r="D596" s="67"/>
      <c r="I596" s="78"/>
      <c r="K596" s="67"/>
    </row>
    <row r="597" ht="14.25" customHeight="1">
      <c r="D597" s="67"/>
      <c r="I597" s="78"/>
      <c r="K597" s="67"/>
    </row>
    <row r="598" ht="14.25" customHeight="1">
      <c r="D598" s="67"/>
      <c r="I598" s="78"/>
      <c r="K598" s="67"/>
    </row>
    <row r="599" ht="14.25" customHeight="1">
      <c r="D599" s="67"/>
      <c r="I599" s="78"/>
      <c r="K599" s="67"/>
    </row>
    <row r="600" ht="14.25" customHeight="1">
      <c r="D600" s="67"/>
      <c r="I600" s="78"/>
      <c r="K600" s="67"/>
    </row>
    <row r="601" ht="14.25" customHeight="1">
      <c r="D601" s="67"/>
      <c r="I601" s="78"/>
      <c r="K601" s="67"/>
    </row>
    <row r="602" ht="14.25" customHeight="1">
      <c r="D602" s="67"/>
      <c r="I602" s="78"/>
      <c r="K602" s="67"/>
    </row>
    <row r="603" ht="14.25" customHeight="1">
      <c r="D603" s="67"/>
      <c r="I603" s="78"/>
      <c r="K603" s="67"/>
    </row>
    <row r="604" ht="14.25" customHeight="1">
      <c r="D604" s="67"/>
      <c r="I604" s="78"/>
      <c r="K604" s="67"/>
    </row>
    <row r="605" ht="14.25" customHeight="1">
      <c r="D605" s="67"/>
      <c r="I605" s="78"/>
      <c r="K605" s="67"/>
    </row>
    <row r="606" ht="14.25" customHeight="1">
      <c r="D606" s="67"/>
      <c r="I606" s="78"/>
      <c r="K606" s="67"/>
    </row>
    <row r="607" ht="14.25" customHeight="1">
      <c r="D607" s="67"/>
      <c r="I607" s="78"/>
      <c r="K607" s="67"/>
    </row>
    <row r="608" ht="14.25" customHeight="1">
      <c r="D608" s="67"/>
      <c r="I608" s="78"/>
      <c r="K608" s="67"/>
    </row>
    <row r="609" ht="14.25" customHeight="1">
      <c r="D609" s="67"/>
      <c r="I609" s="78"/>
      <c r="K609" s="67"/>
    </row>
    <row r="610" ht="14.25" customHeight="1">
      <c r="D610" s="67"/>
      <c r="I610" s="78"/>
      <c r="K610" s="67"/>
    </row>
    <row r="611" ht="14.25" customHeight="1">
      <c r="D611" s="67"/>
      <c r="I611" s="78"/>
      <c r="K611" s="67"/>
    </row>
    <row r="612" ht="14.25" customHeight="1">
      <c r="D612" s="67"/>
      <c r="I612" s="78"/>
      <c r="K612" s="67"/>
    </row>
    <row r="613" ht="14.25" customHeight="1">
      <c r="D613" s="67"/>
      <c r="I613" s="78"/>
      <c r="K613" s="67"/>
    </row>
    <row r="614" ht="14.25" customHeight="1">
      <c r="D614" s="67"/>
      <c r="I614" s="78"/>
      <c r="K614" s="67"/>
    </row>
    <row r="615" ht="14.25" customHeight="1">
      <c r="D615" s="67"/>
      <c r="I615" s="78"/>
      <c r="K615" s="67"/>
    </row>
    <row r="616" ht="14.25" customHeight="1">
      <c r="D616" s="67"/>
      <c r="I616" s="78"/>
      <c r="K616" s="67"/>
    </row>
    <row r="617" ht="14.25" customHeight="1">
      <c r="D617" s="67"/>
      <c r="I617" s="78"/>
      <c r="K617" s="67"/>
    </row>
    <row r="618" ht="14.25" customHeight="1">
      <c r="D618" s="67"/>
      <c r="I618" s="78"/>
      <c r="K618" s="67"/>
    </row>
    <row r="619" ht="14.25" customHeight="1">
      <c r="D619" s="67"/>
      <c r="I619" s="78"/>
      <c r="K619" s="67"/>
    </row>
    <row r="620" ht="14.25" customHeight="1">
      <c r="D620" s="67"/>
      <c r="I620" s="78"/>
      <c r="K620" s="67"/>
    </row>
    <row r="621" ht="14.25" customHeight="1">
      <c r="D621" s="67"/>
      <c r="I621" s="78"/>
      <c r="K621" s="67"/>
    </row>
    <row r="622" ht="14.25" customHeight="1">
      <c r="D622" s="67"/>
      <c r="I622" s="78"/>
      <c r="K622" s="67"/>
    </row>
    <row r="623" ht="14.25" customHeight="1">
      <c r="D623" s="67"/>
      <c r="I623" s="78"/>
      <c r="K623" s="67"/>
    </row>
    <row r="624" ht="14.25" customHeight="1">
      <c r="D624" s="67"/>
      <c r="I624" s="78"/>
      <c r="K624" s="67"/>
    </row>
    <row r="625" ht="14.25" customHeight="1">
      <c r="D625" s="67"/>
      <c r="I625" s="78"/>
      <c r="K625" s="67"/>
    </row>
    <row r="626" ht="14.25" customHeight="1">
      <c r="D626" s="67"/>
      <c r="I626" s="78"/>
      <c r="K626" s="67"/>
    </row>
    <row r="627" ht="14.25" customHeight="1">
      <c r="D627" s="67"/>
      <c r="I627" s="78"/>
      <c r="K627" s="67"/>
    </row>
    <row r="628" ht="14.25" customHeight="1">
      <c r="D628" s="67"/>
      <c r="I628" s="78"/>
      <c r="K628" s="67"/>
    </row>
    <row r="629" ht="14.25" customHeight="1">
      <c r="D629" s="67"/>
      <c r="I629" s="78"/>
      <c r="K629" s="67"/>
    </row>
    <row r="630" ht="14.25" customHeight="1">
      <c r="D630" s="67"/>
      <c r="I630" s="78"/>
      <c r="K630" s="67"/>
    </row>
    <row r="631" ht="14.25" customHeight="1">
      <c r="D631" s="67"/>
      <c r="I631" s="78"/>
      <c r="K631" s="67"/>
    </row>
    <row r="632" ht="14.25" customHeight="1">
      <c r="D632" s="67"/>
      <c r="I632" s="78"/>
      <c r="K632" s="67"/>
    </row>
    <row r="633" ht="14.25" customHeight="1">
      <c r="D633" s="67"/>
      <c r="I633" s="78"/>
      <c r="K633" s="67"/>
    </row>
    <row r="634" ht="14.25" customHeight="1">
      <c r="D634" s="67"/>
      <c r="I634" s="78"/>
      <c r="K634" s="67"/>
    </row>
    <row r="635" ht="14.25" customHeight="1">
      <c r="D635" s="67"/>
      <c r="I635" s="78"/>
      <c r="K635" s="67"/>
    </row>
    <row r="636" ht="14.25" customHeight="1">
      <c r="D636" s="67"/>
      <c r="I636" s="78"/>
      <c r="K636" s="67"/>
    </row>
    <row r="637" ht="14.25" customHeight="1">
      <c r="D637" s="67"/>
      <c r="I637" s="78"/>
      <c r="K637" s="67"/>
    </row>
    <row r="638" ht="14.25" customHeight="1">
      <c r="D638" s="67"/>
      <c r="I638" s="78"/>
      <c r="K638" s="67"/>
    </row>
    <row r="639" ht="14.25" customHeight="1">
      <c r="D639" s="67"/>
      <c r="I639" s="78"/>
      <c r="K639" s="67"/>
    </row>
    <row r="640" ht="14.25" customHeight="1">
      <c r="D640" s="67"/>
      <c r="I640" s="78"/>
      <c r="K640" s="67"/>
    </row>
    <row r="641" ht="14.25" customHeight="1">
      <c r="D641" s="67"/>
      <c r="I641" s="78"/>
      <c r="K641" s="67"/>
    </row>
    <row r="642" ht="14.25" customHeight="1">
      <c r="D642" s="67"/>
      <c r="I642" s="78"/>
      <c r="K642" s="67"/>
    </row>
    <row r="643" ht="14.25" customHeight="1">
      <c r="D643" s="67"/>
      <c r="I643" s="78"/>
      <c r="K643" s="67"/>
    </row>
    <row r="644" ht="14.25" customHeight="1">
      <c r="D644" s="67"/>
      <c r="I644" s="78"/>
      <c r="K644" s="67"/>
    </row>
    <row r="645" ht="14.25" customHeight="1">
      <c r="D645" s="67"/>
      <c r="I645" s="78"/>
      <c r="K645" s="67"/>
    </row>
    <row r="646" ht="14.25" customHeight="1">
      <c r="D646" s="67"/>
      <c r="I646" s="78"/>
      <c r="K646" s="67"/>
    </row>
    <row r="647" ht="14.25" customHeight="1">
      <c r="D647" s="67"/>
      <c r="I647" s="78"/>
      <c r="K647" s="67"/>
    </row>
    <row r="648" ht="14.25" customHeight="1">
      <c r="D648" s="67"/>
      <c r="I648" s="78"/>
      <c r="K648" s="67"/>
    </row>
    <row r="649" ht="14.25" customHeight="1">
      <c r="D649" s="67"/>
      <c r="I649" s="78"/>
      <c r="K649" s="67"/>
    </row>
    <row r="650" ht="14.25" customHeight="1">
      <c r="D650" s="67"/>
      <c r="I650" s="78"/>
      <c r="K650" s="67"/>
    </row>
    <row r="651" ht="14.25" customHeight="1">
      <c r="D651" s="67"/>
      <c r="I651" s="78"/>
      <c r="K651" s="67"/>
    </row>
    <row r="652" ht="14.25" customHeight="1">
      <c r="D652" s="67"/>
      <c r="I652" s="78"/>
      <c r="K652" s="67"/>
    </row>
    <row r="653" ht="14.25" customHeight="1">
      <c r="D653" s="67"/>
      <c r="I653" s="78"/>
      <c r="K653" s="67"/>
    </row>
    <row r="654" ht="14.25" customHeight="1">
      <c r="D654" s="67"/>
      <c r="I654" s="78"/>
      <c r="K654" s="67"/>
    </row>
    <row r="655" ht="14.25" customHeight="1">
      <c r="D655" s="67"/>
      <c r="I655" s="78"/>
      <c r="K655" s="67"/>
    </row>
    <row r="656" ht="14.25" customHeight="1">
      <c r="D656" s="67"/>
      <c r="I656" s="78"/>
      <c r="K656" s="67"/>
    </row>
    <row r="657" ht="14.25" customHeight="1">
      <c r="D657" s="67"/>
      <c r="I657" s="78"/>
      <c r="K657" s="67"/>
    </row>
    <row r="658" ht="14.25" customHeight="1">
      <c r="D658" s="67"/>
      <c r="I658" s="78"/>
      <c r="K658" s="67"/>
    </row>
    <row r="659" ht="14.25" customHeight="1">
      <c r="D659" s="67"/>
      <c r="I659" s="78"/>
      <c r="K659" s="67"/>
    </row>
    <row r="660" ht="14.25" customHeight="1">
      <c r="D660" s="67"/>
      <c r="I660" s="78"/>
      <c r="K660" s="67"/>
    </row>
    <row r="661" ht="14.25" customHeight="1">
      <c r="D661" s="67"/>
      <c r="I661" s="78"/>
      <c r="K661" s="67"/>
    </row>
    <row r="662" ht="14.25" customHeight="1">
      <c r="D662" s="67"/>
      <c r="I662" s="78"/>
      <c r="K662" s="67"/>
    </row>
    <row r="663" ht="14.25" customHeight="1">
      <c r="D663" s="67"/>
      <c r="I663" s="78"/>
      <c r="K663" s="67"/>
    </row>
    <row r="664" ht="14.25" customHeight="1">
      <c r="D664" s="67"/>
      <c r="I664" s="78"/>
      <c r="K664" s="67"/>
    </row>
    <row r="665" ht="14.25" customHeight="1">
      <c r="D665" s="67"/>
      <c r="I665" s="78"/>
      <c r="K665" s="67"/>
    </row>
    <row r="666" ht="14.25" customHeight="1">
      <c r="D666" s="67"/>
      <c r="I666" s="78"/>
      <c r="K666" s="67"/>
    </row>
    <row r="667" ht="14.25" customHeight="1">
      <c r="D667" s="67"/>
      <c r="I667" s="78"/>
      <c r="K667" s="67"/>
    </row>
    <row r="668" ht="14.25" customHeight="1">
      <c r="D668" s="67"/>
      <c r="I668" s="78"/>
      <c r="K668" s="67"/>
    </row>
    <row r="669" ht="14.25" customHeight="1">
      <c r="D669" s="67"/>
      <c r="I669" s="78"/>
      <c r="K669" s="67"/>
    </row>
    <row r="670" ht="14.25" customHeight="1">
      <c r="D670" s="67"/>
      <c r="I670" s="78"/>
      <c r="K670" s="67"/>
    </row>
    <row r="671" ht="14.25" customHeight="1">
      <c r="D671" s="67"/>
      <c r="I671" s="78"/>
      <c r="K671" s="67"/>
    </row>
    <row r="672" ht="14.25" customHeight="1">
      <c r="D672" s="67"/>
      <c r="I672" s="78"/>
      <c r="K672" s="67"/>
    </row>
    <row r="673" ht="14.25" customHeight="1">
      <c r="D673" s="67"/>
      <c r="I673" s="78"/>
      <c r="K673" s="67"/>
    </row>
    <row r="674" ht="14.25" customHeight="1">
      <c r="D674" s="67"/>
      <c r="I674" s="78"/>
      <c r="K674" s="67"/>
    </row>
    <row r="675" ht="14.25" customHeight="1">
      <c r="D675" s="67"/>
      <c r="I675" s="78"/>
      <c r="K675" s="67"/>
    </row>
    <row r="676" ht="14.25" customHeight="1">
      <c r="D676" s="67"/>
      <c r="I676" s="78"/>
      <c r="K676" s="67"/>
    </row>
    <row r="677" ht="14.25" customHeight="1">
      <c r="D677" s="67"/>
      <c r="I677" s="78"/>
      <c r="K677" s="67"/>
    </row>
    <row r="678" ht="14.25" customHeight="1">
      <c r="D678" s="67"/>
      <c r="I678" s="78"/>
      <c r="K678" s="67"/>
    </row>
    <row r="679" ht="14.25" customHeight="1">
      <c r="D679" s="67"/>
      <c r="I679" s="78"/>
      <c r="K679" s="67"/>
    </row>
    <row r="680" ht="14.25" customHeight="1">
      <c r="D680" s="67"/>
      <c r="I680" s="78"/>
      <c r="K680" s="67"/>
    </row>
    <row r="681" ht="14.25" customHeight="1">
      <c r="D681" s="67"/>
      <c r="I681" s="78"/>
      <c r="K681" s="67"/>
    </row>
    <row r="682" ht="14.25" customHeight="1">
      <c r="D682" s="67"/>
      <c r="I682" s="78"/>
      <c r="K682" s="67"/>
    </row>
    <row r="683" ht="14.25" customHeight="1">
      <c r="D683" s="67"/>
      <c r="I683" s="78"/>
      <c r="K683" s="67"/>
    </row>
    <row r="684" ht="14.25" customHeight="1">
      <c r="D684" s="67"/>
      <c r="I684" s="78"/>
      <c r="K684" s="67"/>
    </row>
    <row r="685" ht="14.25" customHeight="1">
      <c r="D685" s="67"/>
      <c r="I685" s="78"/>
      <c r="K685" s="67"/>
    </row>
    <row r="686" ht="14.25" customHeight="1">
      <c r="D686" s="67"/>
      <c r="I686" s="78"/>
      <c r="K686" s="67"/>
    </row>
    <row r="687" ht="14.25" customHeight="1">
      <c r="D687" s="67"/>
      <c r="I687" s="78"/>
      <c r="K687" s="67"/>
    </row>
    <row r="688" ht="14.25" customHeight="1">
      <c r="D688" s="67"/>
      <c r="I688" s="78"/>
      <c r="K688" s="67"/>
    </row>
    <row r="689" ht="14.25" customHeight="1">
      <c r="D689" s="67"/>
      <c r="I689" s="78"/>
      <c r="K689" s="67"/>
    </row>
    <row r="690" ht="14.25" customHeight="1">
      <c r="D690" s="67"/>
      <c r="I690" s="78"/>
      <c r="K690" s="67"/>
    </row>
    <row r="691" ht="14.25" customHeight="1">
      <c r="D691" s="67"/>
      <c r="I691" s="78"/>
      <c r="K691" s="67"/>
    </row>
    <row r="692" ht="14.25" customHeight="1">
      <c r="D692" s="67"/>
      <c r="I692" s="78"/>
      <c r="K692" s="67"/>
    </row>
    <row r="693" ht="14.25" customHeight="1">
      <c r="D693" s="67"/>
      <c r="I693" s="78"/>
      <c r="K693" s="67"/>
    </row>
    <row r="694" ht="14.25" customHeight="1">
      <c r="D694" s="67"/>
      <c r="I694" s="78"/>
      <c r="K694" s="67"/>
    </row>
    <row r="695" ht="14.25" customHeight="1">
      <c r="D695" s="67"/>
      <c r="I695" s="78"/>
      <c r="K695" s="67"/>
    </row>
    <row r="696" ht="14.25" customHeight="1">
      <c r="D696" s="67"/>
      <c r="I696" s="78"/>
      <c r="K696" s="67"/>
    </row>
    <row r="697" ht="14.25" customHeight="1">
      <c r="D697" s="67"/>
      <c r="I697" s="78"/>
      <c r="K697" s="67"/>
    </row>
    <row r="698" ht="14.25" customHeight="1">
      <c r="D698" s="67"/>
      <c r="I698" s="78"/>
      <c r="K698" s="67"/>
    </row>
    <row r="699" ht="14.25" customHeight="1">
      <c r="D699" s="67"/>
      <c r="I699" s="78"/>
      <c r="K699" s="67"/>
    </row>
    <row r="700" ht="14.25" customHeight="1">
      <c r="D700" s="67"/>
      <c r="I700" s="78"/>
      <c r="K700" s="67"/>
    </row>
    <row r="701" ht="14.25" customHeight="1">
      <c r="D701" s="67"/>
      <c r="I701" s="78"/>
      <c r="K701" s="67"/>
    </row>
    <row r="702" ht="14.25" customHeight="1">
      <c r="D702" s="67"/>
      <c r="I702" s="78"/>
      <c r="K702" s="67"/>
    </row>
    <row r="703" ht="14.25" customHeight="1">
      <c r="D703" s="67"/>
      <c r="I703" s="78"/>
      <c r="K703" s="67"/>
    </row>
    <row r="704" ht="14.25" customHeight="1">
      <c r="D704" s="67"/>
      <c r="I704" s="78"/>
      <c r="K704" s="67"/>
    </row>
    <row r="705" ht="14.25" customHeight="1">
      <c r="D705" s="67"/>
      <c r="I705" s="78"/>
      <c r="K705" s="67"/>
    </row>
    <row r="706" ht="14.25" customHeight="1">
      <c r="D706" s="67"/>
      <c r="I706" s="78"/>
      <c r="K706" s="67"/>
    </row>
    <row r="707" ht="14.25" customHeight="1">
      <c r="D707" s="67"/>
      <c r="I707" s="78"/>
      <c r="K707" s="67"/>
    </row>
    <row r="708" ht="14.25" customHeight="1">
      <c r="D708" s="67"/>
      <c r="I708" s="78"/>
      <c r="K708" s="67"/>
    </row>
    <row r="709" ht="14.25" customHeight="1">
      <c r="D709" s="67"/>
      <c r="I709" s="78"/>
      <c r="K709" s="67"/>
    </row>
    <row r="710" ht="14.25" customHeight="1">
      <c r="D710" s="67"/>
      <c r="I710" s="78"/>
      <c r="K710" s="67"/>
    </row>
    <row r="711" ht="14.25" customHeight="1">
      <c r="D711" s="67"/>
      <c r="I711" s="78"/>
      <c r="K711" s="67"/>
    </row>
    <row r="712" ht="14.25" customHeight="1">
      <c r="D712" s="67"/>
      <c r="I712" s="78"/>
      <c r="K712" s="67"/>
    </row>
    <row r="713" ht="14.25" customHeight="1">
      <c r="D713" s="67"/>
      <c r="I713" s="78"/>
      <c r="K713" s="67"/>
    </row>
    <row r="714" ht="14.25" customHeight="1">
      <c r="D714" s="67"/>
      <c r="I714" s="78"/>
      <c r="K714" s="67"/>
    </row>
    <row r="715" ht="14.25" customHeight="1">
      <c r="D715" s="67"/>
      <c r="I715" s="78"/>
      <c r="K715" s="67"/>
    </row>
    <row r="716" ht="14.25" customHeight="1">
      <c r="D716" s="67"/>
      <c r="I716" s="78"/>
      <c r="K716" s="67"/>
    </row>
    <row r="717" ht="14.25" customHeight="1">
      <c r="D717" s="67"/>
      <c r="I717" s="78"/>
      <c r="K717" s="67"/>
    </row>
    <row r="718" ht="14.25" customHeight="1">
      <c r="D718" s="67"/>
      <c r="I718" s="78"/>
      <c r="K718" s="67"/>
    </row>
    <row r="719" ht="14.25" customHeight="1">
      <c r="D719" s="67"/>
      <c r="I719" s="78"/>
      <c r="K719" s="67"/>
    </row>
    <row r="720" ht="14.25" customHeight="1">
      <c r="D720" s="67"/>
      <c r="I720" s="78"/>
      <c r="K720" s="67"/>
    </row>
    <row r="721" ht="14.25" customHeight="1">
      <c r="D721" s="67"/>
      <c r="I721" s="78"/>
      <c r="K721" s="67"/>
    </row>
    <row r="722" ht="14.25" customHeight="1">
      <c r="D722" s="67"/>
      <c r="I722" s="78"/>
      <c r="K722" s="67"/>
    </row>
    <row r="723" ht="14.25" customHeight="1">
      <c r="D723" s="67"/>
      <c r="I723" s="78"/>
      <c r="K723" s="67"/>
    </row>
    <row r="724" ht="14.25" customHeight="1">
      <c r="D724" s="67"/>
      <c r="I724" s="78"/>
      <c r="K724" s="67"/>
    </row>
    <row r="725" ht="14.25" customHeight="1">
      <c r="D725" s="67"/>
      <c r="I725" s="78"/>
      <c r="K725" s="67"/>
    </row>
    <row r="726" ht="14.25" customHeight="1">
      <c r="D726" s="67"/>
      <c r="I726" s="78"/>
      <c r="K726" s="67"/>
    </row>
    <row r="727" ht="14.25" customHeight="1">
      <c r="D727" s="67"/>
      <c r="I727" s="78"/>
      <c r="K727" s="67"/>
    </row>
    <row r="728" ht="14.25" customHeight="1">
      <c r="D728" s="67"/>
      <c r="I728" s="78"/>
      <c r="K728" s="67"/>
    </row>
    <row r="729" ht="14.25" customHeight="1">
      <c r="D729" s="67"/>
      <c r="I729" s="78"/>
      <c r="K729" s="67"/>
    </row>
    <row r="730" ht="14.25" customHeight="1">
      <c r="D730" s="67"/>
      <c r="I730" s="78"/>
      <c r="K730" s="67"/>
    </row>
    <row r="731" ht="14.25" customHeight="1">
      <c r="D731" s="67"/>
      <c r="I731" s="78"/>
      <c r="K731" s="67"/>
    </row>
    <row r="732" ht="14.25" customHeight="1">
      <c r="D732" s="67"/>
      <c r="I732" s="78"/>
      <c r="K732" s="67"/>
    </row>
    <row r="733" ht="14.25" customHeight="1">
      <c r="D733" s="67"/>
      <c r="I733" s="78"/>
      <c r="K733" s="67"/>
    </row>
    <row r="734" ht="14.25" customHeight="1">
      <c r="D734" s="67"/>
      <c r="I734" s="78"/>
      <c r="K734" s="67"/>
    </row>
    <row r="735" ht="14.25" customHeight="1">
      <c r="D735" s="67"/>
      <c r="I735" s="78"/>
      <c r="K735" s="67"/>
    </row>
    <row r="736" ht="14.25" customHeight="1">
      <c r="D736" s="67"/>
      <c r="I736" s="78"/>
      <c r="K736" s="67"/>
    </row>
    <row r="737" ht="14.25" customHeight="1">
      <c r="D737" s="67"/>
      <c r="I737" s="78"/>
      <c r="K737" s="67"/>
    </row>
    <row r="738" ht="14.25" customHeight="1">
      <c r="D738" s="67"/>
      <c r="I738" s="78"/>
      <c r="K738" s="67"/>
    </row>
    <row r="739" ht="14.25" customHeight="1">
      <c r="D739" s="67"/>
      <c r="I739" s="78"/>
      <c r="K739" s="67"/>
    </row>
    <row r="740" ht="14.25" customHeight="1">
      <c r="D740" s="67"/>
      <c r="I740" s="78"/>
      <c r="K740" s="67"/>
    </row>
    <row r="741" ht="14.25" customHeight="1">
      <c r="D741" s="67"/>
      <c r="I741" s="78"/>
      <c r="K741" s="67"/>
    </row>
    <row r="742" ht="14.25" customHeight="1">
      <c r="D742" s="67"/>
      <c r="I742" s="78"/>
      <c r="K742" s="67"/>
    </row>
    <row r="743" ht="14.25" customHeight="1">
      <c r="D743" s="67"/>
      <c r="I743" s="78"/>
      <c r="K743" s="67"/>
    </row>
    <row r="744" ht="14.25" customHeight="1">
      <c r="D744" s="67"/>
      <c r="I744" s="78"/>
      <c r="K744" s="67"/>
    </row>
    <row r="745" ht="14.25" customHeight="1">
      <c r="D745" s="67"/>
      <c r="I745" s="78"/>
      <c r="K745" s="67"/>
    </row>
    <row r="746" ht="14.25" customHeight="1">
      <c r="D746" s="67"/>
      <c r="I746" s="78"/>
      <c r="K746" s="67"/>
    </row>
    <row r="747" ht="14.25" customHeight="1">
      <c r="D747" s="67"/>
      <c r="I747" s="78"/>
      <c r="K747" s="67"/>
    </row>
    <row r="748" ht="14.25" customHeight="1">
      <c r="D748" s="67"/>
      <c r="I748" s="78"/>
      <c r="K748" s="67"/>
    </row>
    <row r="749" ht="14.25" customHeight="1">
      <c r="D749" s="67"/>
      <c r="I749" s="78"/>
      <c r="K749" s="67"/>
    </row>
    <row r="750" ht="14.25" customHeight="1">
      <c r="D750" s="67"/>
      <c r="I750" s="78"/>
      <c r="K750" s="67"/>
    </row>
    <row r="751" ht="14.25" customHeight="1">
      <c r="D751" s="67"/>
      <c r="I751" s="78"/>
      <c r="K751" s="67"/>
    </row>
    <row r="752" ht="14.25" customHeight="1">
      <c r="D752" s="67"/>
      <c r="I752" s="78"/>
      <c r="K752" s="67"/>
    </row>
    <row r="753" ht="14.25" customHeight="1">
      <c r="D753" s="67"/>
      <c r="I753" s="78"/>
      <c r="K753" s="67"/>
    </row>
    <row r="754" ht="14.25" customHeight="1">
      <c r="D754" s="67"/>
      <c r="I754" s="78"/>
      <c r="K754" s="67"/>
    </row>
    <row r="755" ht="14.25" customHeight="1">
      <c r="D755" s="67"/>
      <c r="I755" s="78"/>
      <c r="K755" s="67"/>
    </row>
    <row r="756" ht="14.25" customHeight="1">
      <c r="D756" s="67"/>
      <c r="I756" s="78"/>
      <c r="K756" s="67"/>
    </row>
    <row r="757" ht="14.25" customHeight="1">
      <c r="D757" s="67"/>
      <c r="I757" s="78"/>
      <c r="K757" s="67"/>
    </row>
    <row r="758" ht="14.25" customHeight="1">
      <c r="D758" s="67"/>
      <c r="I758" s="78"/>
      <c r="K758" s="67"/>
    </row>
    <row r="759" ht="14.25" customHeight="1">
      <c r="D759" s="67"/>
      <c r="I759" s="78"/>
      <c r="K759" s="67"/>
    </row>
    <row r="760" ht="14.25" customHeight="1">
      <c r="D760" s="67"/>
      <c r="I760" s="78"/>
      <c r="K760" s="67"/>
    </row>
    <row r="761" ht="14.25" customHeight="1">
      <c r="D761" s="67"/>
      <c r="I761" s="78"/>
      <c r="K761" s="67"/>
    </row>
    <row r="762" ht="14.25" customHeight="1">
      <c r="D762" s="67"/>
      <c r="I762" s="78"/>
      <c r="K762" s="67"/>
    </row>
    <row r="763" ht="14.25" customHeight="1">
      <c r="D763" s="67"/>
      <c r="I763" s="78"/>
      <c r="K763" s="67"/>
    </row>
    <row r="764" ht="14.25" customHeight="1">
      <c r="D764" s="67"/>
      <c r="I764" s="78"/>
      <c r="K764" s="67"/>
    </row>
    <row r="765" ht="14.25" customHeight="1">
      <c r="D765" s="67"/>
      <c r="I765" s="78"/>
      <c r="K765" s="67"/>
    </row>
    <row r="766" ht="14.25" customHeight="1">
      <c r="D766" s="67"/>
      <c r="I766" s="78"/>
      <c r="K766" s="67"/>
    </row>
    <row r="767" ht="14.25" customHeight="1">
      <c r="D767" s="67"/>
      <c r="I767" s="78"/>
      <c r="K767" s="67"/>
    </row>
    <row r="768" ht="14.25" customHeight="1">
      <c r="D768" s="67"/>
      <c r="I768" s="78"/>
      <c r="K768" s="67"/>
    </row>
    <row r="769" ht="14.25" customHeight="1">
      <c r="D769" s="67"/>
      <c r="I769" s="78"/>
      <c r="K769" s="67"/>
    </row>
    <row r="770" ht="14.25" customHeight="1">
      <c r="D770" s="67"/>
      <c r="I770" s="78"/>
      <c r="K770" s="67"/>
    </row>
    <row r="771" ht="14.25" customHeight="1">
      <c r="D771" s="67"/>
      <c r="I771" s="78"/>
      <c r="K771" s="67"/>
    </row>
    <row r="772" ht="14.25" customHeight="1">
      <c r="D772" s="67"/>
      <c r="I772" s="78"/>
      <c r="K772" s="67"/>
    </row>
    <row r="773" ht="14.25" customHeight="1">
      <c r="D773" s="67"/>
      <c r="I773" s="78"/>
      <c r="K773" s="67"/>
    </row>
    <row r="774" ht="14.25" customHeight="1">
      <c r="D774" s="67"/>
      <c r="I774" s="78"/>
      <c r="K774" s="67"/>
    </row>
    <row r="775" ht="14.25" customHeight="1">
      <c r="D775" s="67"/>
      <c r="I775" s="78"/>
      <c r="K775" s="67"/>
    </row>
    <row r="776" ht="14.25" customHeight="1">
      <c r="D776" s="67"/>
      <c r="I776" s="78"/>
      <c r="K776" s="67"/>
    </row>
    <row r="777" ht="14.25" customHeight="1">
      <c r="D777" s="67"/>
      <c r="I777" s="78"/>
      <c r="K777" s="67"/>
    </row>
    <row r="778" ht="14.25" customHeight="1">
      <c r="D778" s="67"/>
      <c r="I778" s="78"/>
      <c r="K778" s="67"/>
    </row>
    <row r="779" ht="14.25" customHeight="1">
      <c r="D779" s="67"/>
      <c r="I779" s="78"/>
      <c r="K779" s="67"/>
    </row>
    <row r="780" ht="14.25" customHeight="1">
      <c r="D780" s="67"/>
      <c r="I780" s="78"/>
      <c r="K780" s="67"/>
    </row>
    <row r="781" ht="14.25" customHeight="1">
      <c r="D781" s="67"/>
      <c r="I781" s="78"/>
      <c r="K781" s="67"/>
    </row>
    <row r="782" ht="14.25" customHeight="1">
      <c r="D782" s="67"/>
      <c r="I782" s="78"/>
      <c r="K782" s="67"/>
    </row>
    <row r="783" ht="14.25" customHeight="1">
      <c r="D783" s="67"/>
      <c r="I783" s="78"/>
      <c r="K783" s="67"/>
    </row>
    <row r="784" ht="14.25" customHeight="1">
      <c r="D784" s="67"/>
      <c r="I784" s="78"/>
      <c r="K784" s="67"/>
    </row>
    <row r="785" ht="14.25" customHeight="1">
      <c r="D785" s="67"/>
      <c r="I785" s="78"/>
      <c r="K785" s="67"/>
    </row>
    <row r="786" ht="14.25" customHeight="1">
      <c r="D786" s="67"/>
      <c r="I786" s="78"/>
      <c r="K786" s="67"/>
    </row>
    <row r="787" ht="14.25" customHeight="1">
      <c r="D787" s="67"/>
      <c r="I787" s="78"/>
      <c r="K787" s="67"/>
    </row>
    <row r="788" ht="14.25" customHeight="1">
      <c r="D788" s="67"/>
      <c r="I788" s="78"/>
      <c r="K788" s="67"/>
    </row>
    <row r="789" ht="14.25" customHeight="1">
      <c r="D789" s="67"/>
      <c r="I789" s="78"/>
      <c r="K789" s="67"/>
    </row>
    <row r="790" ht="14.25" customHeight="1">
      <c r="D790" s="67"/>
      <c r="I790" s="78"/>
      <c r="K790" s="67"/>
    </row>
    <row r="791" ht="14.25" customHeight="1">
      <c r="D791" s="67"/>
      <c r="I791" s="78"/>
      <c r="K791" s="67"/>
    </row>
    <row r="792" ht="14.25" customHeight="1">
      <c r="D792" s="67"/>
      <c r="I792" s="78"/>
      <c r="K792" s="67"/>
    </row>
    <row r="793" ht="14.25" customHeight="1">
      <c r="D793" s="67"/>
      <c r="I793" s="78"/>
      <c r="K793" s="67"/>
    </row>
    <row r="794" ht="14.25" customHeight="1">
      <c r="D794" s="67"/>
      <c r="I794" s="78"/>
      <c r="K794" s="67"/>
    </row>
    <row r="795" ht="14.25" customHeight="1">
      <c r="D795" s="67"/>
      <c r="I795" s="78"/>
      <c r="K795" s="67"/>
    </row>
    <row r="796" ht="14.25" customHeight="1">
      <c r="D796" s="67"/>
      <c r="I796" s="78"/>
      <c r="K796" s="67"/>
    </row>
    <row r="797" ht="14.25" customHeight="1">
      <c r="D797" s="67"/>
      <c r="I797" s="78"/>
      <c r="K797" s="67"/>
    </row>
    <row r="798" ht="14.25" customHeight="1">
      <c r="D798" s="67"/>
      <c r="I798" s="78"/>
      <c r="K798" s="67"/>
    </row>
    <row r="799" ht="14.25" customHeight="1">
      <c r="D799" s="67"/>
      <c r="I799" s="78"/>
      <c r="K799" s="67"/>
    </row>
    <row r="800" ht="14.25" customHeight="1">
      <c r="D800" s="67"/>
      <c r="I800" s="78"/>
      <c r="K800" s="67"/>
    </row>
    <row r="801" ht="14.25" customHeight="1">
      <c r="D801" s="67"/>
      <c r="I801" s="78"/>
      <c r="K801" s="67"/>
    </row>
    <row r="802" ht="14.25" customHeight="1">
      <c r="D802" s="67"/>
      <c r="I802" s="78"/>
      <c r="K802" s="67"/>
    </row>
    <row r="803" ht="14.25" customHeight="1">
      <c r="D803" s="67"/>
      <c r="I803" s="78"/>
      <c r="K803" s="67"/>
    </row>
    <row r="804" ht="14.25" customHeight="1">
      <c r="D804" s="67"/>
      <c r="I804" s="78"/>
      <c r="K804" s="67"/>
    </row>
    <row r="805" ht="14.25" customHeight="1">
      <c r="D805" s="67"/>
      <c r="I805" s="78"/>
      <c r="K805" s="67"/>
    </row>
    <row r="806" ht="14.25" customHeight="1">
      <c r="D806" s="67"/>
      <c r="I806" s="78"/>
      <c r="K806" s="67"/>
    </row>
    <row r="807" ht="14.25" customHeight="1">
      <c r="D807" s="67"/>
      <c r="I807" s="78"/>
      <c r="K807" s="67"/>
    </row>
    <row r="808" ht="14.25" customHeight="1">
      <c r="D808" s="67"/>
      <c r="I808" s="78"/>
      <c r="K808" s="67"/>
    </row>
    <row r="809" ht="14.25" customHeight="1">
      <c r="D809" s="67"/>
      <c r="I809" s="78"/>
      <c r="K809" s="67"/>
    </row>
    <row r="810" ht="14.25" customHeight="1">
      <c r="D810" s="67"/>
      <c r="I810" s="78"/>
      <c r="K810" s="67"/>
    </row>
    <row r="811" ht="14.25" customHeight="1">
      <c r="D811" s="67"/>
      <c r="I811" s="78"/>
      <c r="K811" s="67"/>
    </row>
    <row r="812" ht="14.25" customHeight="1">
      <c r="D812" s="67"/>
      <c r="I812" s="78"/>
      <c r="K812" s="67"/>
    </row>
    <row r="813" ht="14.25" customHeight="1">
      <c r="D813" s="67"/>
      <c r="I813" s="78"/>
      <c r="K813" s="67"/>
    </row>
    <row r="814" ht="14.25" customHeight="1">
      <c r="D814" s="67"/>
      <c r="I814" s="78"/>
      <c r="K814" s="67"/>
    </row>
    <row r="815" ht="14.25" customHeight="1">
      <c r="D815" s="67"/>
      <c r="I815" s="78"/>
      <c r="K815" s="67"/>
    </row>
    <row r="816" ht="14.25" customHeight="1">
      <c r="D816" s="67"/>
      <c r="I816" s="78"/>
      <c r="K816" s="67"/>
    </row>
    <row r="817" ht="14.25" customHeight="1">
      <c r="D817" s="67"/>
      <c r="I817" s="78"/>
      <c r="K817" s="67"/>
    </row>
    <row r="818" ht="14.25" customHeight="1">
      <c r="D818" s="67"/>
      <c r="I818" s="78"/>
      <c r="K818" s="67"/>
    </row>
    <row r="819" ht="14.25" customHeight="1">
      <c r="D819" s="67"/>
      <c r="I819" s="78"/>
      <c r="K819" s="67"/>
    </row>
    <row r="820" ht="14.25" customHeight="1">
      <c r="D820" s="67"/>
      <c r="I820" s="78"/>
      <c r="K820" s="67"/>
    </row>
    <row r="821" ht="14.25" customHeight="1">
      <c r="D821" s="67"/>
      <c r="I821" s="78"/>
      <c r="K821" s="67"/>
    </row>
    <row r="822" ht="14.25" customHeight="1">
      <c r="D822" s="67"/>
      <c r="I822" s="78"/>
      <c r="K822" s="67"/>
    </row>
    <row r="823" ht="14.25" customHeight="1">
      <c r="D823" s="67"/>
      <c r="I823" s="78"/>
      <c r="K823" s="67"/>
    </row>
    <row r="824" ht="14.25" customHeight="1">
      <c r="D824" s="67"/>
      <c r="I824" s="78"/>
      <c r="K824" s="67"/>
    </row>
    <row r="825" ht="14.25" customHeight="1">
      <c r="D825" s="67"/>
      <c r="I825" s="78"/>
      <c r="K825" s="67"/>
    </row>
    <row r="826" ht="14.25" customHeight="1">
      <c r="D826" s="67"/>
      <c r="I826" s="78"/>
      <c r="K826" s="67"/>
    </row>
    <row r="827" ht="14.25" customHeight="1">
      <c r="D827" s="67"/>
      <c r="I827" s="78"/>
      <c r="K827" s="67"/>
    </row>
    <row r="828" ht="14.25" customHeight="1">
      <c r="D828" s="67"/>
      <c r="I828" s="78"/>
      <c r="K828" s="67"/>
    </row>
    <row r="829" ht="14.25" customHeight="1">
      <c r="D829" s="67"/>
      <c r="I829" s="78"/>
      <c r="K829" s="67"/>
    </row>
    <row r="830" ht="14.25" customHeight="1">
      <c r="D830" s="67"/>
      <c r="I830" s="78"/>
      <c r="K830" s="67"/>
    </row>
    <row r="831" ht="14.25" customHeight="1">
      <c r="D831" s="67"/>
      <c r="I831" s="78"/>
      <c r="K831" s="67"/>
    </row>
    <row r="832" ht="14.25" customHeight="1">
      <c r="D832" s="67"/>
      <c r="I832" s="78"/>
      <c r="K832" s="67"/>
    </row>
    <row r="833" ht="14.25" customHeight="1">
      <c r="D833" s="67"/>
      <c r="I833" s="78"/>
      <c r="K833" s="67"/>
    </row>
    <row r="834" ht="14.25" customHeight="1">
      <c r="D834" s="67"/>
      <c r="I834" s="78"/>
      <c r="K834" s="67"/>
    </row>
    <row r="835" ht="14.25" customHeight="1">
      <c r="D835" s="67"/>
      <c r="I835" s="78"/>
      <c r="K835" s="67"/>
    </row>
    <row r="836" ht="14.25" customHeight="1">
      <c r="D836" s="67"/>
      <c r="I836" s="78"/>
      <c r="K836" s="67"/>
    </row>
    <row r="837" ht="14.25" customHeight="1">
      <c r="D837" s="67"/>
      <c r="I837" s="78"/>
      <c r="K837" s="67"/>
    </row>
    <row r="838" ht="14.25" customHeight="1">
      <c r="D838" s="67"/>
      <c r="I838" s="78"/>
      <c r="K838" s="67"/>
    </row>
    <row r="839" ht="14.25" customHeight="1">
      <c r="D839" s="67"/>
      <c r="I839" s="78"/>
      <c r="K839" s="67"/>
    </row>
    <row r="840" ht="14.25" customHeight="1">
      <c r="D840" s="67"/>
      <c r="I840" s="78"/>
      <c r="K840" s="67"/>
    </row>
    <row r="841" ht="14.25" customHeight="1">
      <c r="D841" s="67"/>
      <c r="I841" s="78"/>
      <c r="K841" s="67"/>
    </row>
    <row r="842" ht="14.25" customHeight="1">
      <c r="D842" s="67"/>
      <c r="I842" s="78"/>
      <c r="K842" s="67"/>
    </row>
    <row r="843" ht="14.25" customHeight="1">
      <c r="D843" s="67"/>
      <c r="I843" s="78"/>
      <c r="K843" s="67"/>
    </row>
    <row r="844" ht="14.25" customHeight="1">
      <c r="D844" s="67"/>
      <c r="I844" s="78"/>
      <c r="K844" s="67"/>
    </row>
    <row r="845" ht="14.25" customHeight="1">
      <c r="D845" s="67"/>
      <c r="I845" s="78"/>
      <c r="K845" s="67"/>
    </row>
    <row r="846" ht="14.25" customHeight="1">
      <c r="D846" s="67"/>
      <c r="I846" s="78"/>
      <c r="K846" s="67"/>
    </row>
    <row r="847" ht="14.25" customHeight="1">
      <c r="D847" s="67"/>
      <c r="I847" s="78"/>
      <c r="K847" s="67"/>
    </row>
    <row r="848" ht="14.25" customHeight="1">
      <c r="D848" s="67"/>
      <c r="I848" s="78"/>
      <c r="K848" s="67"/>
    </row>
    <row r="849" ht="14.25" customHeight="1">
      <c r="D849" s="67"/>
      <c r="I849" s="78"/>
      <c r="K849" s="67"/>
    </row>
    <row r="850" ht="14.25" customHeight="1">
      <c r="D850" s="67"/>
      <c r="I850" s="78"/>
      <c r="K850" s="67"/>
    </row>
    <row r="851" ht="14.25" customHeight="1">
      <c r="D851" s="67"/>
      <c r="I851" s="78"/>
      <c r="K851" s="67"/>
    </row>
    <row r="852" ht="14.25" customHeight="1">
      <c r="D852" s="67"/>
      <c r="I852" s="78"/>
      <c r="K852" s="67"/>
    </row>
    <row r="853" ht="14.25" customHeight="1">
      <c r="D853" s="67"/>
      <c r="I853" s="78"/>
      <c r="K853" s="67"/>
    </row>
    <row r="854" ht="14.25" customHeight="1">
      <c r="D854" s="67"/>
      <c r="I854" s="78"/>
      <c r="K854" s="67"/>
    </row>
    <row r="855" ht="14.25" customHeight="1">
      <c r="D855" s="67"/>
      <c r="I855" s="78"/>
      <c r="K855" s="67"/>
    </row>
    <row r="856" ht="14.25" customHeight="1">
      <c r="D856" s="67"/>
      <c r="I856" s="78"/>
      <c r="K856" s="67"/>
    </row>
    <row r="857" ht="14.25" customHeight="1">
      <c r="D857" s="67"/>
      <c r="I857" s="78"/>
      <c r="K857" s="67"/>
    </row>
    <row r="858" ht="14.25" customHeight="1">
      <c r="D858" s="67"/>
      <c r="I858" s="78"/>
      <c r="K858" s="67"/>
    </row>
    <row r="859" ht="14.25" customHeight="1">
      <c r="D859" s="67"/>
      <c r="I859" s="78"/>
      <c r="K859" s="67"/>
    </row>
    <row r="860" ht="14.25" customHeight="1">
      <c r="D860" s="67"/>
      <c r="I860" s="78"/>
      <c r="K860" s="67"/>
    </row>
    <row r="861" ht="14.25" customHeight="1">
      <c r="D861" s="67"/>
      <c r="I861" s="78"/>
      <c r="K861" s="67"/>
    </row>
    <row r="862" ht="14.25" customHeight="1">
      <c r="D862" s="67"/>
      <c r="I862" s="78"/>
      <c r="K862" s="67"/>
    </row>
    <row r="863" ht="14.25" customHeight="1">
      <c r="D863" s="67"/>
      <c r="I863" s="78"/>
      <c r="K863" s="67"/>
    </row>
    <row r="864" ht="14.25" customHeight="1">
      <c r="D864" s="67"/>
      <c r="I864" s="78"/>
      <c r="K864" s="67"/>
    </row>
    <row r="865" ht="14.25" customHeight="1">
      <c r="D865" s="67"/>
      <c r="I865" s="78"/>
      <c r="K865" s="67"/>
    </row>
    <row r="866" ht="14.25" customHeight="1">
      <c r="D866" s="67"/>
      <c r="I866" s="78"/>
      <c r="K866" s="67"/>
    </row>
    <row r="867" ht="14.25" customHeight="1">
      <c r="D867" s="67"/>
      <c r="I867" s="78"/>
      <c r="K867" s="67"/>
    </row>
    <row r="868" ht="14.25" customHeight="1">
      <c r="D868" s="67"/>
      <c r="I868" s="78"/>
      <c r="K868" s="67"/>
    </row>
    <row r="869" ht="14.25" customHeight="1">
      <c r="D869" s="67"/>
      <c r="I869" s="78"/>
      <c r="K869" s="67"/>
    </row>
    <row r="870" ht="14.25" customHeight="1">
      <c r="D870" s="67"/>
      <c r="I870" s="78"/>
      <c r="K870" s="67"/>
    </row>
    <row r="871" ht="14.25" customHeight="1">
      <c r="D871" s="67"/>
      <c r="I871" s="78"/>
      <c r="K871" s="67"/>
    </row>
    <row r="872" ht="14.25" customHeight="1">
      <c r="D872" s="67"/>
      <c r="I872" s="78"/>
      <c r="K872" s="67"/>
    </row>
    <row r="873" ht="14.25" customHeight="1">
      <c r="D873" s="67"/>
      <c r="I873" s="78"/>
      <c r="K873" s="67"/>
    </row>
    <row r="874" ht="14.25" customHeight="1">
      <c r="D874" s="67"/>
      <c r="I874" s="78"/>
      <c r="K874" s="67"/>
    </row>
    <row r="875" ht="14.25" customHeight="1">
      <c r="D875" s="67"/>
      <c r="I875" s="78"/>
      <c r="K875" s="67"/>
    </row>
    <row r="876" ht="14.25" customHeight="1">
      <c r="D876" s="67"/>
      <c r="I876" s="78"/>
      <c r="K876" s="67"/>
    </row>
    <row r="877" ht="14.25" customHeight="1">
      <c r="D877" s="67"/>
      <c r="I877" s="78"/>
      <c r="K877" s="67"/>
    </row>
    <row r="878" ht="14.25" customHeight="1">
      <c r="D878" s="67"/>
      <c r="I878" s="78"/>
      <c r="K878" s="67"/>
    </row>
    <row r="879" ht="14.25" customHeight="1">
      <c r="D879" s="67"/>
      <c r="I879" s="78"/>
      <c r="K879" s="67"/>
    </row>
    <row r="880" ht="14.25" customHeight="1">
      <c r="D880" s="67"/>
      <c r="I880" s="78"/>
      <c r="K880" s="67"/>
    </row>
    <row r="881" ht="14.25" customHeight="1">
      <c r="D881" s="67"/>
      <c r="I881" s="78"/>
      <c r="K881" s="67"/>
    </row>
    <row r="882" ht="14.25" customHeight="1">
      <c r="D882" s="67"/>
      <c r="I882" s="78"/>
      <c r="K882" s="67"/>
    </row>
    <row r="883" ht="14.25" customHeight="1">
      <c r="D883" s="67"/>
      <c r="I883" s="78"/>
      <c r="K883" s="67"/>
    </row>
    <row r="884" ht="14.25" customHeight="1">
      <c r="D884" s="67"/>
      <c r="I884" s="78"/>
      <c r="K884" s="67"/>
    </row>
    <row r="885" ht="14.25" customHeight="1">
      <c r="D885" s="67"/>
      <c r="I885" s="78"/>
      <c r="K885" s="67"/>
    </row>
    <row r="886" ht="14.25" customHeight="1">
      <c r="D886" s="67"/>
      <c r="I886" s="78"/>
      <c r="K886" s="67"/>
    </row>
    <row r="887" ht="14.25" customHeight="1">
      <c r="D887" s="67"/>
      <c r="I887" s="78"/>
      <c r="K887" s="67"/>
    </row>
    <row r="888" ht="14.25" customHeight="1">
      <c r="D888" s="67"/>
      <c r="I888" s="78"/>
      <c r="K888" s="67"/>
    </row>
    <row r="889" ht="14.25" customHeight="1">
      <c r="D889" s="67"/>
      <c r="I889" s="78"/>
      <c r="K889" s="67"/>
    </row>
    <row r="890" ht="14.25" customHeight="1">
      <c r="D890" s="67"/>
      <c r="I890" s="78"/>
      <c r="K890" s="67"/>
    </row>
    <row r="891" ht="14.25" customHeight="1">
      <c r="D891" s="67"/>
      <c r="I891" s="78"/>
      <c r="K891" s="67"/>
    </row>
    <row r="892" ht="14.25" customHeight="1">
      <c r="D892" s="67"/>
      <c r="I892" s="78"/>
      <c r="K892" s="67"/>
    </row>
    <row r="893" ht="14.25" customHeight="1">
      <c r="D893" s="67"/>
      <c r="I893" s="78"/>
      <c r="K893" s="67"/>
    </row>
    <row r="894" ht="14.25" customHeight="1">
      <c r="D894" s="67"/>
      <c r="I894" s="78"/>
      <c r="K894" s="67"/>
    </row>
    <row r="895" ht="14.25" customHeight="1">
      <c r="D895" s="67"/>
      <c r="I895" s="78"/>
      <c r="K895" s="67"/>
    </row>
    <row r="896" ht="14.25" customHeight="1">
      <c r="D896" s="67"/>
      <c r="I896" s="78"/>
      <c r="K896" s="67"/>
    </row>
    <row r="897" ht="14.25" customHeight="1">
      <c r="D897" s="67"/>
      <c r="I897" s="78"/>
      <c r="K897" s="67"/>
    </row>
    <row r="898" ht="14.25" customHeight="1">
      <c r="D898" s="67"/>
      <c r="I898" s="78"/>
      <c r="K898" s="67"/>
    </row>
    <row r="899" ht="14.25" customHeight="1">
      <c r="D899" s="67"/>
      <c r="I899" s="78"/>
      <c r="K899" s="67"/>
    </row>
    <row r="900" ht="14.25" customHeight="1">
      <c r="D900" s="67"/>
      <c r="I900" s="78"/>
      <c r="K900" s="67"/>
    </row>
    <row r="901" ht="14.25" customHeight="1">
      <c r="D901" s="67"/>
      <c r="I901" s="78"/>
      <c r="K901" s="67"/>
    </row>
    <row r="902" ht="14.25" customHeight="1">
      <c r="D902" s="67"/>
      <c r="I902" s="78"/>
      <c r="K902" s="67"/>
    </row>
    <row r="903" ht="14.25" customHeight="1">
      <c r="D903" s="67"/>
      <c r="I903" s="78"/>
      <c r="K903" s="67"/>
    </row>
    <row r="904" ht="14.25" customHeight="1">
      <c r="D904" s="67"/>
      <c r="I904" s="78"/>
      <c r="K904" s="67"/>
    </row>
    <row r="905" ht="14.25" customHeight="1">
      <c r="D905" s="67"/>
      <c r="I905" s="78"/>
      <c r="K905" s="67"/>
    </row>
    <row r="906" ht="14.25" customHeight="1">
      <c r="D906" s="67"/>
      <c r="I906" s="78"/>
      <c r="K906" s="67"/>
    </row>
    <row r="907" ht="14.25" customHeight="1">
      <c r="D907" s="67"/>
      <c r="I907" s="78"/>
      <c r="K907" s="67"/>
    </row>
    <row r="908" ht="14.25" customHeight="1">
      <c r="D908" s="67"/>
      <c r="I908" s="78"/>
      <c r="K908" s="67"/>
    </row>
    <row r="909" ht="14.25" customHeight="1">
      <c r="D909" s="67"/>
      <c r="I909" s="78"/>
      <c r="K909" s="67"/>
    </row>
    <row r="910" ht="14.25" customHeight="1">
      <c r="D910" s="67"/>
      <c r="I910" s="78"/>
      <c r="K910" s="67"/>
    </row>
    <row r="911" ht="14.25" customHeight="1">
      <c r="D911" s="67"/>
      <c r="I911" s="78"/>
      <c r="K911" s="67"/>
    </row>
    <row r="912" ht="14.25" customHeight="1">
      <c r="D912" s="67"/>
      <c r="I912" s="78"/>
      <c r="K912" s="67"/>
    </row>
    <row r="913" ht="14.25" customHeight="1">
      <c r="D913" s="67"/>
      <c r="I913" s="78"/>
      <c r="K913" s="67"/>
    </row>
    <row r="914" ht="14.25" customHeight="1">
      <c r="D914" s="67"/>
      <c r="I914" s="78"/>
      <c r="K914" s="67"/>
    </row>
    <row r="915" ht="14.25" customHeight="1">
      <c r="D915" s="67"/>
      <c r="I915" s="78"/>
      <c r="K915" s="67"/>
    </row>
    <row r="916" ht="14.25" customHeight="1">
      <c r="D916" s="67"/>
      <c r="I916" s="78"/>
      <c r="K916" s="67"/>
    </row>
    <row r="917" ht="14.25" customHeight="1">
      <c r="D917" s="67"/>
      <c r="I917" s="78"/>
      <c r="K917" s="67"/>
    </row>
    <row r="918" ht="14.25" customHeight="1">
      <c r="D918" s="67"/>
      <c r="I918" s="78"/>
      <c r="K918" s="67"/>
    </row>
    <row r="919" ht="14.25" customHeight="1">
      <c r="D919" s="67"/>
      <c r="I919" s="78"/>
      <c r="K919" s="67"/>
    </row>
    <row r="920" ht="14.25" customHeight="1">
      <c r="D920" s="67"/>
      <c r="I920" s="78"/>
      <c r="K920" s="67"/>
    </row>
    <row r="921" ht="14.25" customHeight="1">
      <c r="D921" s="67"/>
      <c r="I921" s="78"/>
      <c r="K921" s="67"/>
    </row>
    <row r="922" ht="14.25" customHeight="1">
      <c r="D922" s="67"/>
      <c r="I922" s="78"/>
      <c r="K922" s="67"/>
    </row>
    <row r="923" ht="14.25" customHeight="1">
      <c r="D923" s="67"/>
      <c r="I923" s="78"/>
      <c r="K923" s="67"/>
    </row>
    <row r="924" ht="14.25" customHeight="1">
      <c r="D924" s="67"/>
      <c r="I924" s="78"/>
      <c r="K924" s="67"/>
    </row>
    <row r="925" ht="14.25" customHeight="1">
      <c r="D925" s="67"/>
      <c r="I925" s="78"/>
      <c r="K925" s="67"/>
    </row>
    <row r="926" ht="14.25" customHeight="1">
      <c r="D926" s="67"/>
      <c r="I926" s="78"/>
      <c r="K926" s="67"/>
    </row>
    <row r="927" ht="14.25" customHeight="1">
      <c r="D927" s="67"/>
      <c r="I927" s="78"/>
      <c r="K927" s="67"/>
    </row>
    <row r="928" ht="14.25" customHeight="1">
      <c r="D928" s="67"/>
      <c r="I928" s="78"/>
      <c r="K928" s="67"/>
    </row>
    <row r="929" ht="14.25" customHeight="1">
      <c r="D929" s="67"/>
      <c r="I929" s="78"/>
      <c r="K929" s="67"/>
    </row>
    <row r="930" ht="14.25" customHeight="1">
      <c r="D930" s="67"/>
      <c r="I930" s="78"/>
      <c r="K930" s="67"/>
    </row>
    <row r="931" ht="14.25" customHeight="1">
      <c r="D931" s="67"/>
      <c r="I931" s="78"/>
      <c r="K931" s="67"/>
    </row>
    <row r="932" ht="14.25" customHeight="1">
      <c r="D932" s="67"/>
      <c r="I932" s="78"/>
      <c r="K932" s="67"/>
    </row>
    <row r="933" ht="14.25" customHeight="1">
      <c r="D933" s="67"/>
      <c r="I933" s="78"/>
      <c r="K933" s="67"/>
    </row>
    <row r="934" ht="14.25" customHeight="1">
      <c r="D934" s="67"/>
      <c r="I934" s="78"/>
      <c r="K934" s="67"/>
    </row>
    <row r="935" ht="14.25" customHeight="1">
      <c r="D935" s="67"/>
      <c r="I935" s="78"/>
      <c r="K935" s="67"/>
    </row>
    <row r="936" ht="14.25" customHeight="1">
      <c r="D936" s="67"/>
      <c r="I936" s="78"/>
      <c r="K936" s="67"/>
    </row>
    <row r="937" ht="14.25" customHeight="1">
      <c r="D937" s="67"/>
      <c r="I937" s="78"/>
      <c r="K937" s="67"/>
    </row>
    <row r="938" ht="14.25" customHeight="1">
      <c r="D938" s="67"/>
      <c r="I938" s="78"/>
      <c r="K938" s="67"/>
    </row>
    <row r="939" ht="14.25" customHeight="1">
      <c r="D939" s="67"/>
      <c r="I939" s="78"/>
      <c r="K939" s="67"/>
    </row>
    <row r="940" ht="14.25" customHeight="1">
      <c r="D940" s="67"/>
      <c r="I940" s="78"/>
      <c r="K940" s="67"/>
    </row>
    <row r="941" ht="14.25" customHeight="1">
      <c r="D941" s="67"/>
      <c r="I941" s="78"/>
      <c r="K941" s="67"/>
    </row>
    <row r="942" ht="14.25" customHeight="1">
      <c r="D942" s="67"/>
      <c r="I942" s="78"/>
      <c r="K942" s="67"/>
    </row>
    <row r="943" ht="14.25" customHeight="1">
      <c r="D943" s="67"/>
      <c r="I943" s="78"/>
      <c r="K943" s="67"/>
    </row>
    <row r="944" ht="14.25" customHeight="1">
      <c r="D944" s="67"/>
      <c r="I944" s="78"/>
      <c r="K944" s="67"/>
    </row>
    <row r="945" ht="14.25" customHeight="1">
      <c r="D945" s="67"/>
      <c r="I945" s="78"/>
      <c r="K945" s="67"/>
    </row>
    <row r="946" ht="14.25" customHeight="1">
      <c r="D946" s="67"/>
      <c r="I946" s="78"/>
      <c r="K946" s="67"/>
    </row>
    <row r="947" ht="14.25" customHeight="1">
      <c r="D947" s="67"/>
      <c r="I947" s="78"/>
      <c r="K947" s="67"/>
    </row>
    <row r="948" ht="14.25" customHeight="1">
      <c r="D948" s="67"/>
      <c r="I948" s="78"/>
      <c r="K948" s="67"/>
    </row>
    <row r="949" ht="14.25" customHeight="1">
      <c r="D949" s="67"/>
      <c r="I949" s="78"/>
      <c r="K949" s="67"/>
    </row>
    <row r="950" ht="14.25" customHeight="1">
      <c r="D950" s="67"/>
      <c r="I950" s="78"/>
      <c r="K950" s="67"/>
    </row>
    <row r="951" ht="14.25" customHeight="1">
      <c r="D951" s="67"/>
      <c r="I951" s="78"/>
      <c r="K951" s="67"/>
    </row>
    <row r="952" ht="14.25" customHeight="1">
      <c r="D952" s="67"/>
      <c r="I952" s="78"/>
      <c r="K952" s="67"/>
    </row>
    <row r="953" ht="14.25" customHeight="1">
      <c r="D953" s="67"/>
      <c r="I953" s="78"/>
      <c r="K953" s="67"/>
    </row>
    <row r="954" ht="14.25" customHeight="1">
      <c r="D954" s="67"/>
      <c r="I954" s="78"/>
      <c r="K954" s="67"/>
    </row>
    <row r="955" ht="14.25" customHeight="1">
      <c r="D955" s="67"/>
      <c r="I955" s="78"/>
      <c r="K955" s="67"/>
    </row>
    <row r="956" ht="14.25" customHeight="1">
      <c r="D956" s="67"/>
      <c r="I956" s="78"/>
      <c r="K956" s="67"/>
    </row>
    <row r="957" ht="14.25" customHeight="1">
      <c r="D957" s="67"/>
      <c r="I957" s="78"/>
      <c r="K957" s="67"/>
    </row>
    <row r="958" ht="14.25" customHeight="1">
      <c r="D958" s="67"/>
      <c r="I958" s="78"/>
      <c r="K958" s="67"/>
    </row>
    <row r="959" ht="14.25" customHeight="1">
      <c r="D959" s="67"/>
      <c r="I959" s="78"/>
      <c r="K959" s="67"/>
    </row>
    <row r="960" ht="14.25" customHeight="1">
      <c r="D960" s="67"/>
      <c r="I960" s="78"/>
      <c r="K960" s="67"/>
    </row>
    <row r="961" ht="14.25" customHeight="1">
      <c r="D961" s="67"/>
      <c r="I961" s="78"/>
      <c r="K961" s="67"/>
    </row>
    <row r="962" ht="14.25" customHeight="1">
      <c r="D962" s="67"/>
      <c r="I962" s="78"/>
      <c r="K962" s="67"/>
    </row>
    <row r="963" ht="14.25" customHeight="1">
      <c r="D963" s="67"/>
      <c r="I963" s="78"/>
      <c r="K963" s="67"/>
    </row>
    <row r="964" ht="14.25" customHeight="1">
      <c r="D964" s="67"/>
      <c r="I964" s="78"/>
      <c r="K964" s="67"/>
    </row>
    <row r="965" ht="14.25" customHeight="1">
      <c r="D965" s="67"/>
      <c r="I965" s="78"/>
      <c r="K965" s="67"/>
    </row>
    <row r="966" ht="14.25" customHeight="1">
      <c r="D966" s="67"/>
      <c r="I966" s="78"/>
      <c r="K966" s="67"/>
    </row>
    <row r="967" ht="14.25" customHeight="1">
      <c r="D967" s="67"/>
      <c r="I967" s="78"/>
      <c r="K967" s="67"/>
    </row>
    <row r="968" ht="14.25" customHeight="1">
      <c r="D968" s="67"/>
      <c r="I968" s="78"/>
      <c r="K968" s="67"/>
    </row>
    <row r="969" ht="14.25" customHeight="1">
      <c r="D969" s="67"/>
      <c r="I969" s="78"/>
      <c r="K969" s="67"/>
    </row>
    <row r="970" ht="14.25" customHeight="1">
      <c r="D970" s="67"/>
      <c r="I970" s="78"/>
      <c r="K970" s="67"/>
    </row>
    <row r="971" ht="14.25" customHeight="1">
      <c r="D971" s="67"/>
      <c r="I971" s="78"/>
      <c r="K971" s="67"/>
    </row>
    <row r="972" ht="14.25" customHeight="1">
      <c r="D972" s="67"/>
      <c r="I972" s="78"/>
      <c r="K972" s="67"/>
    </row>
    <row r="973" ht="14.25" customHeight="1">
      <c r="D973" s="67"/>
      <c r="I973" s="78"/>
      <c r="K973" s="67"/>
    </row>
    <row r="974" ht="14.25" customHeight="1">
      <c r="D974" s="67"/>
      <c r="I974" s="78"/>
      <c r="K974" s="67"/>
    </row>
    <row r="975" ht="14.25" customHeight="1">
      <c r="D975" s="67"/>
      <c r="I975" s="78"/>
      <c r="K975" s="67"/>
    </row>
    <row r="976" ht="14.25" customHeight="1">
      <c r="D976" s="67"/>
      <c r="I976" s="78"/>
      <c r="K976" s="67"/>
    </row>
    <row r="977" ht="14.25" customHeight="1">
      <c r="D977" s="67"/>
      <c r="I977" s="78"/>
      <c r="K977" s="67"/>
    </row>
    <row r="978" ht="14.25" customHeight="1">
      <c r="D978" s="67"/>
      <c r="I978" s="78"/>
      <c r="K978" s="67"/>
    </row>
    <row r="979" ht="14.25" customHeight="1">
      <c r="D979" s="67"/>
      <c r="I979" s="78"/>
      <c r="K979" s="67"/>
    </row>
    <row r="980" ht="14.25" customHeight="1">
      <c r="D980" s="67"/>
      <c r="I980" s="78"/>
      <c r="K980" s="67"/>
    </row>
    <row r="981" ht="14.25" customHeight="1">
      <c r="D981" s="67"/>
      <c r="I981" s="78"/>
      <c r="K981" s="67"/>
    </row>
    <row r="982" ht="14.25" customHeight="1">
      <c r="D982" s="67"/>
      <c r="I982" s="78"/>
      <c r="K982" s="67"/>
    </row>
    <row r="983" ht="14.25" customHeight="1">
      <c r="D983" s="67"/>
      <c r="I983" s="78"/>
      <c r="K983" s="67"/>
    </row>
    <row r="984" ht="14.25" customHeight="1">
      <c r="D984" s="67"/>
      <c r="I984" s="78"/>
      <c r="K984" s="67"/>
    </row>
    <row r="985" ht="14.25" customHeight="1">
      <c r="D985" s="67"/>
      <c r="I985" s="78"/>
      <c r="K985" s="67"/>
    </row>
    <row r="986" ht="14.25" customHeight="1">
      <c r="D986" s="67"/>
      <c r="I986" s="78"/>
      <c r="K986" s="67"/>
    </row>
    <row r="987" ht="14.25" customHeight="1">
      <c r="D987" s="67"/>
      <c r="I987" s="78"/>
      <c r="K987" s="67"/>
    </row>
    <row r="988" ht="14.25" customHeight="1">
      <c r="D988" s="67"/>
      <c r="I988" s="78"/>
      <c r="K988" s="67"/>
    </row>
    <row r="989" ht="14.25" customHeight="1">
      <c r="D989" s="67"/>
      <c r="I989" s="78"/>
      <c r="K989" s="67"/>
    </row>
    <row r="990" ht="14.25" customHeight="1">
      <c r="D990" s="67"/>
      <c r="I990" s="78"/>
      <c r="K990" s="67"/>
    </row>
    <row r="991" ht="14.25" customHeight="1">
      <c r="D991" s="67"/>
      <c r="I991" s="78"/>
      <c r="K991" s="67"/>
    </row>
    <row r="992" ht="14.25" customHeight="1">
      <c r="D992" s="67"/>
      <c r="I992" s="78"/>
      <c r="K992" s="67"/>
    </row>
    <row r="993" ht="14.25" customHeight="1">
      <c r="D993" s="67"/>
      <c r="I993" s="78"/>
      <c r="K993" s="67"/>
    </row>
  </sheetData>
  <autoFilter ref="$A$1:$AC$43">
    <sortState ref="A1:AC43">
      <sortCondition descending="1" ref="L1:L43"/>
      <sortCondition descending="1" ref="B1:B43"/>
      <sortCondition descending="1" ref="A1:A43"/>
      <sortCondition descending="1" ref="C1:C43"/>
    </sortState>
  </autoFilter>
  <conditionalFormatting sqref="I2:I72">
    <cfRule type="cellIs" dxfId="0" priority="1" operator="greaterThanOrEqual">
      <formula>"55%"</formula>
    </cfRule>
  </conditionalFormatting>
  <conditionalFormatting sqref="I2:I72">
    <cfRule type="cellIs" dxfId="1" priority="2" operator="between">
      <formula>"40%"</formula>
      <formula>"55%"</formula>
    </cfRule>
  </conditionalFormatting>
  <conditionalFormatting sqref="I2:I72">
    <cfRule type="cellIs" dxfId="2" priority="3" operator="lessThan">
      <formula>"40%"</formula>
    </cfRule>
  </conditionalFormatting>
  <conditionalFormatting sqref="J44:J52">
    <cfRule type="notContainsBlanks" dxfId="3" priority="4">
      <formula>LEN(TRIM(J44))&gt;0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2023-01-16T13:53:08Z</dcterms:created>
  <dc:creator>ALDELIA</dc:creator>
</cp:coreProperties>
</file>